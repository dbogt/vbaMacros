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a076c027fa3c5fa/Desktop/Teaching 2022/2022.06 - OTPP/"/>
    </mc:Choice>
  </mc:AlternateContent>
  <xr:revisionPtr revIDLastSave="171" documentId="13_ncr:1_{E9A98D17-6827-4F19-919D-F0BC510251E6}" xr6:coauthVersionLast="47" xr6:coauthVersionMax="47" xr10:uidLastSave="{A6E6FE67-8BD0-49BB-9E98-BDFE6268E0D9}"/>
  <bookViews>
    <workbookView xWindow="9510" yWindow="-90" windowWidth="19380" windowHeight="10260" xr2:uid="{002E025E-C039-4257-878D-C4E6B1065600}"/>
  </bookViews>
  <sheets>
    <sheet name="Examples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4" i="1" l="1" a="1"/>
  <c r="F74" i="1"/>
  <c r="I66" i="1" a="1"/>
  <c r="I65" i="1" a="1"/>
  <c r="J66" i="1"/>
  <c r="J65" i="1"/>
  <c r="I66" i="1" l="1"/>
  <c r="I65" i="1"/>
  <c r="L37" i="1" l="1"/>
  <c r="L36" i="1"/>
  <c r="L35" i="1"/>
  <c r="L34" i="1"/>
  <c r="L33" i="1"/>
  <c r="L32" i="1"/>
  <c r="L31" i="1"/>
  <c r="I13" i="1" a="1"/>
  <c r="B60" i="1" a="1"/>
  <c r="B74" i="1" a="1"/>
  <c r="J74" i="1" a="1"/>
  <c r="I12" i="1" a="1"/>
  <c r="I14" i="1" a="1"/>
  <c r="B73" i="1"/>
  <c r="F73" i="1"/>
  <c r="K74" i="1"/>
  <c r="J74" i="1" l="1"/>
  <c r="B74" i="1"/>
  <c r="B60" i="1"/>
  <c r="I13" i="1"/>
  <c r="I12" i="1"/>
  <c r="I14" i="1"/>
  <c r="C51" i="1" a="1"/>
  <c r="C49" i="1" a="1"/>
  <c r="B46" i="1" a="1"/>
  <c r="C50" i="1" a="1"/>
  <c r="C53" i="1" a="1"/>
  <c r="C52" i="1" a="1"/>
  <c r="D52" i="1"/>
  <c r="C46" i="1"/>
  <c r="J14" i="1"/>
  <c r="D53" i="1"/>
  <c r="D50" i="1"/>
  <c r="B61" i="1"/>
  <c r="D51" i="1"/>
  <c r="C53" i="1" l="1"/>
  <c r="C52" i="1"/>
  <c r="C51" i="1"/>
  <c r="C50" i="1"/>
  <c r="C49" i="1"/>
  <c r="B46" i="1"/>
  <c r="I7" i="1"/>
  <c r="I6" i="1"/>
  <c r="G6" i="1"/>
  <c r="E6" i="1"/>
  <c r="J13" i="1"/>
  <c r="J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<sst xmlns="http://schemas.openxmlformats.org/spreadsheetml/2006/main" count="56" uniqueCount="48">
  <si>
    <t>HardCodes</t>
  </si>
  <si>
    <t>Links</t>
  </si>
  <si>
    <t>Formulas</t>
  </si>
  <si>
    <t>Hardcodes within formulas</t>
  </si>
  <si>
    <t>Top Border</t>
  </si>
  <si>
    <t>Bottom Border</t>
  </si>
  <si>
    <t>Left Border</t>
  </si>
  <si>
    <t>Right Border</t>
  </si>
  <si>
    <t>CTRL + ALT + Shift +</t>
  </si>
  <si>
    <t>Borders Shortcuts</t>
  </si>
  <si>
    <t>Up arrow</t>
  </si>
  <si>
    <t>Down arrow</t>
  </si>
  <si>
    <t>Left arrow</t>
  </si>
  <si>
    <t>Right arrow</t>
  </si>
  <si>
    <t>Use the same shortcut again to cycle between thin border, medium border, thick border, no border</t>
  </si>
  <si>
    <t>UDFs</t>
  </si>
  <si>
    <t>Test: highlight area and click the AutoFormat button or CTRL + ALT + A</t>
  </si>
  <si>
    <t>Font Color Cycle --&gt; CTRL + ALT + E (black, blue, green, magenta, red, reset)</t>
  </si>
  <si>
    <t>Formatting Shortcuts</t>
  </si>
  <si>
    <t>x</t>
  </si>
  <si>
    <t>Number Format Macros</t>
  </si>
  <si>
    <t>Ratio</t>
  </si>
  <si>
    <t>Navigation</t>
  </si>
  <si>
    <t>Jump to a tab quickly using the index (sheet number)</t>
  </si>
  <si>
    <t>Sheetcount: counts how many sheets are in the file</t>
  </si>
  <si>
    <t>SheetName(number): returns the name of the sheet (used for creating a quick Table of Contents)</t>
  </si>
  <si>
    <t>bogdan.tudose@marqueegroup.ca</t>
  </si>
  <si>
    <t>abc@gmail.com</t>
  </si>
  <si>
    <t>efg@hotmail.com</t>
  </si>
  <si>
    <t>CustConcat(seperator, cells): concatenates cells, similar to the new TextJoin formula in Excel</t>
  </si>
  <si>
    <t>Currency Format</t>
  </si>
  <si>
    <t>Date Format</t>
  </si>
  <si>
    <t>Number Formats</t>
  </si>
  <si>
    <t>Yahoo Finance UDFs</t>
  </si>
  <si>
    <t>AAPL</t>
  </si>
  <si>
    <t>Extracting all fields of a ticker:</t>
  </si>
  <si>
    <t>Extracting a specific field (e.g. regularMarketPrice, bid, ask, etc.):</t>
  </si>
  <si>
    <t>Black Scholes Formula</t>
  </si>
  <si>
    <t>=CallOption(UnderlyingPrice,ExercisePrice,Time,Interest,Volatility,Dividend)</t>
  </si>
  <si>
    <t>S (price)</t>
  </si>
  <si>
    <t>K (strike)</t>
  </si>
  <si>
    <t>T (years)</t>
  </si>
  <si>
    <t>Risk Free Rate</t>
  </si>
  <si>
    <t>Vol</t>
  </si>
  <si>
    <t>Div Yield</t>
  </si>
  <si>
    <t>Call</t>
  </si>
  <si>
    <t>Put</t>
  </si>
  <si>
    <t>regularMarketPreviousClose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</si>
</sst>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\x"/>
    <numFmt numFmtId="165" formatCode="&quot;$&quot;#,##0.0_);\(&quot;$&quot;#,##0.0\);\–_);General_)"/>
    <numFmt numFmtId="166" formatCode="_(&quot;$&quot;#,##0.0_)_%;_(\(&quot;$&quot;#,##0.0\)_%;_(&quot;–&quot;_)_%;@_(_%"/>
    <numFmt numFmtId="167" formatCode="&quot;$&quot;#,##0.0"/>
    <numFmt numFmtId="168" formatCode="[$€-2]\ #,##0.0_);\([$€-2]\ #,##0.0\);General_)"/>
    <numFmt numFmtId="169" formatCode="#,##0.0\ [$€-1]_);\(#,##0.0\ [$€-1]\);General_)"/>
    <numFmt numFmtId="170" formatCode="[$£-809]#,##0.0_);\([$£-809]#,##0.0\);General_)"/>
    <numFmt numFmtId="171" formatCode="[$¥-2]\ #,##0.0_);\([$¥-2]\ #,##0.0\);General_)"/>
    <numFmt numFmtId="172" formatCode="m/d/yy;@"/>
    <numFmt numFmtId="173" formatCode="mm/dd/yy;@"/>
    <numFmt numFmtId="174" formatCode="d\-mmm\-yyyy;@"/>
    <numFmt numFmtId="175" formatCode="mmmm\ d\,\ yyyy;@"/>
    <numFmt numFmtId="176" formatCode="mmm\ d\,\ yyyy;@"/>
    <numFmt numFmtId="177" formatCode="d\-mmm\-yy;@"/>
    <numFmt numFmtId="178" formatCode="_(#,##0.0_)_%;_(\(#,##0.0\)_%;_(&quot;–&quot;_)_%;@_(_%"/>
    <numFmt numFmtId="179" formatCode="#,##0.0_);\(#,##0.0\);\–_);General_)"/>
    <numFmt numFmtId="180" formatCode="&quot;$&quot;#,##0.0000_);[Red]\(&quot;$&quot;#,##0.0000\)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0" xfId="0" applyFill="1"/>
    <xf numFmtId="0" fontId="0" fillId="3" borderId="0" xfId="0" applyFill="1"/>
    <xf numFmtId="0" fontId="4" fillId="2" borderId="0" xfId="0" applyFont="1" applyFill="1"/>
    <xf numFmtId="164" fontId="0" fillId="0" borderId="0" xfId="0" applyNumberFormat="1"/>
    <xf numFmtId="0" fontId="5" fillId="0" borderId="0" xfId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4" fontId="0" fillId="0" borderId="0" xfId="0" applyNumberFormat="1"/>
    <xf numFmtId="179" fontId="0" fillId="0" borderId="0" xfId="0" applyNumberFormat="1"/>
    <xf numFmtId="0" fontId="0" fillId="0" borderId="5" xfId="0" applyBorder="1"/>
    <xf numFmtId="0" fontId="6" fillId="0" borderId="0" xfId="0" applyFont="1"/>
    <xf numFmtId="0" fontId="6" fillId="4" borderId="0" xfId="0" applyFont="1" applyFill="1"/>
    <xf numFmtId="0" fontId="7" fillId="0" borderId="0" xfId="0" applyFont="1"/>
    <xf numFmtId="0" fontId="0" fillId="0" borderId="0" xfId="0" quotePrefix="1"/>
    <xf numFmtId="9" fontId="6" fillId="0" borderId="0" xfId="0" applyNumberFormat="1" applyFont="1"/>
    <xf numFmtId="18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3</xdr:row>
          <xdr:rowOff>133350</xdr:rowOff>
        </xdr:from>
        <xdr:to>
          <xdr:col>13</xdr:col>
          <xdr:colOff>400050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6</xdr:row>
          <xdr:rowOff>171450</xdr:rowOff>
        </xdr:from>
        <xdr:to>
          <xdr:col>13</xdr:col>
          <xdr:colOff>419100</xdr:colOff>
          <xdr:row>9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Font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3</xdr:row>
          <xdr:rowOff>123825</xdr:rowOff>
        </xdr:from>
        <xdr:to>
          <xdr:col>16</xdr:col>
          <xdr:colOff>323850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6</xdr:row>
          <xdr:rowOff>161925</xdr:rowOff>
        </xdr:from>
        <xdr:to>
          <xdr:col>16</xdr:col>
          <xdr:colOff>323850</xdr:colOff>
          <xdr:row>9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Font Colour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Cycle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10</xdr:row>
          <xdr:rowOff>66675</xdr:rowOff>
        </xdr:from>
        <xdr:to>
          <xdr:col>16</xdr:col>
          <xdr:colOff>314325</xdr:colOff>
          <xdr:row>12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Colour Cycle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17</xdr:row>
          <xdr:rowOff>66675</xdr:rowOff>
        </xdr:from>
        <xdr:to>
          <xdr:col>13</xdr:col>
          <xdr:colOff>238125</xdr:colOff>
          <xdr:row>19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17</xdr:row>
          <xdr:rowOff>66675</xdr:rowOff>
        </xdr:from>
        <xdr:to>
          <xdr:col>15</xdr:col>
          <xdr:colOff>552450</xdr:colOff>
          <xdr:row>19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Bottom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20</xdr:row>
          <xdr:rowOff>66675</xdr:rowOff>
        </xdr:from>
        <xdr:to>
          <xdr:col>13</xdr:col>
          <xdr:colOff>247650</xdr:colOff>
          <xdr:row>22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20</xdr:row>
          <xdr:rowOff>66675</xdr:rowOff>
        </xdr:from>
        <xdr:to>
          <xdr:col>15</xdr:col>
          <xdr:colOff>542925</xdr:colOff>
          <xdr:row>22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23</xdr:row>
          <xdr:rowOff>66675</xdr:rowOff>
        </xdr:from>
        <xdr:to>
          <xdr:col>13</xdr:col>
          <xdr:colOff>247650</xdr:colOff>
          <xdr:row>25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Outline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34</xdr:row>
          <xdr:rowOff>161925</xdr:rowOff>
        </xdr:from>
        <xdr:to>
          <xdr:col>9</xdr:col>
          <xdr:colOff>209550</xdr:colOff>
          <xdr:row>36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Ratio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39</xdr:row>
          <xdr:rowOff>123825</xdr:rowOff>
        </xdr:from>
        <xdr:to>
          <xdr:col>2</xdr:col>
          <xdr:colOff>447675</xdr:colOff>
          <xdr:row>41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Jump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30</xdr:row>
          <xdr:rowOff>161925</xdr:rowOff>
        </xdr:from>
        <xdr:to>
          <xdr:col>4</xdr:col>
          <xdr:colOff>9525</xdr:colOff>
          <xdr:row>34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29</xdr:row>
          <xdr:rowOff>28575</xdr:rowOff>
        </xdr:from>
        <xdr:to>
          <xdr:col>15</xdr:col>
          <xdr:colOff>19050</xdr:colOff>
          <xdr:row>31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30</xdr:row>
          <xdr:rowOff>104775</xdr:rowOff>
        </xdr:from>
        <xdr:to>
          <xdr:col>8</xdr:col>
          <xdr:colOff>352425</xdr:colOff>
          <xdr:row>33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Number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hyperlink" Target="mailto:efg@hotmail.com" TargetMode="Externa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hyperlink" Target="mailto:abc@gmail.com" TargetMode="Externa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hyperlink" Target="mailto:bogdan.tudose@marqueegroup.ca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9FA91-7A59-4FB0-AB15-FD6D1410AE97}">
  <sheetPr codeName="Sheet1"/>
  <dimension ref="A1:P148"/>
  <sheetViews>
    <sheetView showGridLines="0" tabSelected="1" topLeftCell="D65" zoomScale="175" zoomScaleNormal="175" workbookViewId="0">
      <selection activeCell="J74" sqref="J74"/>
    </sheetView>
  </sheetViews>
  <sheetFormatPr defaultRowHeight="15" x14ac:dyDescent="0.25"/>
  <cols>
    <col min="1" max="1" width="3.42578125" customWidth="1"/>
    <col min="2" max="2" width="13.5703125" bestFit="1" customWidth="1"/>
    <col min="6" max="6" width="10.140625" bestFit="1" customWidth="1"/>
    <col min="8" max="8" width="10.5703125" bestFit="1" customWidth="1"/>
    <col min="9" max="9" width="9.85546875" bestFit="1" customWidth="1"/>
    <col min="12" max="12" width="14" bestFit="1" customWidth="1"/>
    <col min="13" max="13" width="7.7109375" customWidth="1"/>
  </cols>
  <sheetData>
    <row r="1" spans="1:16" x14ac:dyDescent="0.25">
      <c r="A1" t="s">
        <v>19</v>
      </c>
      <c r="B1" s="10" t="s">
        <v>18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5">
      <c r="B2" s="3" t="s">
        <v>16</v>
      </c>
    </row>
    <row r="3" spans="1:16" x14ac:dyDescent="0.25">
      <c r="B3" s="3" t="s">
        <v>17</v>
      </c>
    </row>
    <row r="5" spans="1:16" x14ac:dyDescent="0.25">
      <c r="B5" s="2" t="s">
        <v>0</v>
      </c>
      <c r="C5" s="1"/>
      <c r="D5" s="1"/>
      <c r="E5" s="2" t="s">
        <v>1</v>
      </c>
      <c r="F5" s="1"/>
      <c r="G5" s="2" t="s">
        <v>2</v>
      </c>
      <c r="H5" s="1"/>
      <c r="I5" s="2" t="s">
        <v>3</v>
      </c>
      <c r="J5" s="1"/>
      <c r="K5" s="1"/>
    </row>
    <row r="6" spans="1:16" x14ac:dyDescent="0.25">
      <c r="B6" s="1">
        <v>21312</v>
      </c>
      <c r="C6" s="1">
        <v>213</v>
      </c>
      <c r="D6" s="1"/>
      <c r="E6" s="1">
        <f>Sheet2!$A$1</f>
        <v>33242</v>
      </c>
      <c r="F6" s="1"/>
      <c r="G6" s="1">
        <f>SUM(B6:C6)</f>
        <v>21525</v>
      </c>
      <c r="H6" s="1"/>
      <c r="I6" s="1">
        <f>C6+50</f>
        <v>263</v>
      </c>
      <c r="J6" s="1"/>
      <c r="K6" s="1"/>
    </row>
    <row r="7" spans="1:16" x14ac:dyDescent="0.25">
      <c r="B7" s="1">
        <v>12312</v>
      </c>
      <c r="C7" s="1">
        <v>123213</v>
      </c>
      <c r="D7" s="1"/>
      <c r="E7" s="1"/>
      <c r="F7" s="1"/>
      <c r="G7" s="1"/>
      <c r="H7" s="1"/>
      <c r="I7" s="1">
        <f>C7+C9+20</f>
        <v>123554</v>
      </c>
      <c r="J7" s="1"/>
      <c r="K7" s="1"/>
    </row>
    <row r="8" spans="1:16" x14ac:dyDescent="0.25">
      <c r="B8" s="1">
        <v>321</v>
      </c>
      <c r="C8" s="1">
        <v>321312</v>
      </c>
      <c r="D8" s="1"/>
      <c r="E8" s="1"/>
      <c r="F8" s="1"/>
      <c r="G8" s="1"/>
      <c r="H8" s="1"/>
      <c r="I8" s="1"/>
      <c r="J8" s="1"/>
      <c r="K8" s="1"/>
    </row>
    <row r="9" spans="1:16" x14ac:dyDescent="0.25">
      <c r="B9" s="1">
        <v>312</v>
      </c>
      <c r="C9" s="1">
        <v>321</v>
      </c>
      <c r="D9" s="1"/>
      <c r="E9" s="1"/>
      <c r="F9" s="1"/>
      <c r="G9" s="1"/>
      <c r="H9" s="1"/>
      <c r="I9" s="1"/>
      <c r="J9" s="1"/>
      <c r="K9" s="1"/>
    </row>
    <row r="10" spans="1:16" x14ac:dyDescent="0.25">
      <c r="B10" s="1">
        <v>321312</v>
      </c>
      <c r="C10" s="1">
        <v>21321</v>
      </c>
      <c r="D10" s="1"/>
      <c r="E10" s="1"/>
      <c r="F10" s="1"/>
      <c r="G10" s="1"/>
      <c r="H10" s="1"/>
      <c r="I10" s="1"/>
      <c r="J10" s="1"/>
      <c r="K10" s="1"/>
    </row>
    <row r="11" spans="1:16" x14ac:dyDescent="0.25">
      <c r="B11" s="1">
        <v>312</v>
      </c>
      <c r="C11" s="1">
        <v>31231</v>
      </c>
      <c r="D11" s="1"/>
      <c r="E11" s="1"/>
      <c r="F11" s="1"/>
      <c r="G11" s="1"/>
      <c r="H11" s="1"/>
      <c r="I11" s="2" t="s">
        <v>15</v>
      </c>
      <c r="J11" s="1"/>
      <c r="K11" s="1"/>
    </row>
    <row r="12" spans="1:16" x14ac:dyDescent="0.25">
      <c r="B12" s="1">
        <v>312312</v>
      </c>
      <c r="C12" s="1">
        <v>321</v>
      </c>
      <c r="D12" s="1"/>
      <c r="E12" s="1"/>
      <c r="F12" s="1"/>
      <c r="G12" s="1"/>
      <c r="H12" s="1"/>
      <c r="I12" s="1" t="b" cm="1">
        <f t="array" ref="I12">hardcodeInFormula(I6)</f>
        <v>1</v>
      </c>
      <c r="J12" s="1" t="str">
        <f ca="1">_xlfn.FORMULATEXT(I12)</f>
        <v>=hardcodeInFormula(I6)</v>
      </c>
      <c r="K12" s="1"/>
      <c r="L12" s="1"/>
    </row>
    <row r="13" spans="1:16" x14ac:dyDescent="0.25">
      <c r="B13" s="1">
        <v>12312</v>
      </c>
      <c r="C13" s="1">
        <v>131</v>
      </c>
      <c r="D13" s="1"/>
      <c r="E13" s="1"/>
      <c r="F13" s="1"/>
      <c r="G13" s="1"/>
      <c r="H13" s="1"/>
      <c r="I13" s="1" t="b" cm="1">
        <f t="array" ref="I13">hardcodeInFormula(G6)</f>
        <v>0</v>
      </c>
      <c r="J13" s="1" t="str">
        <f ca="1">_xlfn.FORMULATEXT(I13)</f>
        <v>=hardcodeInFormula(G6)</v>
      </c>
      <c r="K13" s="1"/>
    </row>
    <row r="14" spans="1:16" x14ac:dyDescent="0.25">
      <c r="B14" s="1">
        <v>1</v>
      </c>
      <c r="C14" s="1"/>
      <c r="D14" s="1"/>
      <c r="E14" s="1"/>
      <c r="F14" s="1"/>
      <c r="G14" s="1"/>
      <c r="H14" s="1"/>
      <c r="I14" s="1" t="str" cm="1">
        <f t="array" aca="1" ref="I14" ca="1">hasSheetRef(E6)</f>
        <v>True</v>
      </c>
      <c r="J14" s="1" t="str">
        <f ca="1">_xlfn.FORMULATEXT(I14)</f>
        <v>=hasSheetRef(E6)</v>
      </c>
      <c r="K14" s="1"/>
    </row>
    <row r="15" spans="1:16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6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O16" s="9"/>
    </row>
    <row r="17" spans="1:16" x14ac:dyDescent="0.25">
      <c r="A17" t="s">
        <v>19</v>
      </c>
      <c r="B17" s="10" t="s">
        <v>9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</row>
    <row r="18" spans="1:16" x14ac:dyDescent="0.25">
      <c r="D18" s="3" t="s">
        <v>8</v>
      </c>
    </row>
    <row r="19" spans="1:16" x14ac:dyDescent="0.25">
      <c r="B19" t="s">
        <v>4</v>
      </c>
      <c r="D19" t="s">
        <v>10</v>
      </c>
      <c r="G19" s="4"/>
    </row>
    <row r="20" spans="1:16" x14ac:dyDescent="0.25">
      <c r="B20" t="s">
        <v>5</v>
      </c>
      <c r="D20" t="s">
        <v>11</v>
      </c>
      <c r="H20" s="5"/>
    </row>
    <row r="21" spans="1:16" x14ac:dyDescent="0.25">
      <c r="B21" t="s">
        <v>6</v>
      </c>
      <c r="D21" t="s">
        <v>12</v>
      </c>
      <c r="I21" s="6"/>
    </row>
    <row r="22" spans="1:16" x14ac:dyDescent="0.25">
      <c r="B22" t="s">
        <v>7</v>
      </c>
      <c r="D22" t="s">
        <v>13</v>
      </c>
      <c r="I22" s="7"/>
    </row>
    <row r="24" spans="1:16" x14ac:dyDescent="0.25">
      <c r="B24" t="s">
        <v>14</v>
      </c>
    </row>
    <row r="25" spans="1:16" x14ac:dyDescent="0.25">
      <c r="G25" s="4"/>
      <c r="I25" s="6"/>
    </row>
    <row r="26" spans="1:16" x14ac:dyDescent="0.25">
      <c r="E26" s="6"/>
      <c r="F26" s="4"/>
      <c r="G26" s="29"/>
      <c r="I26" s="5"/>
    </row>
    <row r="28" spans="1:16" x14ac:dyDescent="0.25">
      <c r="A28" t="s">
        <v>19</v>
      </c>
      <c r="B28" s="10" t="s">
        <v>20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</row>
    <row r="30" spans="1:16" x14ac:dyDescent="0.25">
      <c r="B30" s="3" t="s">
        <v>30</v>
      </c>
      <c r="F30" s="3" t="s">
        <v>32</v>
      </c>
      <c r="L30" s="3" t="s">
        <v>31</v>
      </c>
    </row>
    <row r="31" spans="1:16" x14ac:dyDescent="0.25">
      <c r="B31" s="18">
        <v>1000</v>
      </c>
      <c r="F31" s="28">
        <v>1000</v>
      </c>
      <c r="L31" s="20">
        <f t="shared" ref="L31:L37" ca="1" si="0">TODAY()</f>
        <v>44728</v>
      </c>
    </row>
    <row r="32" spans="1:16" x14ac:dyDescent="0.25">
      <c r="B32" s="16">
        <v>1000</v>
      </c>
      <c r="F32" s="26">
        <v>1000</v>
      </c>
      <c r="L32" s="20">
        <f t="shared" ca="1" si="0"/>
        <v>44728</v>
      </c>
    </row>
    <row r="33" spans="1:16" x14ac:dyDescent="0.25">
      <c r="B33" s="18">
        <v>1000</v>
      </c>
      <c r="F33" s="27">
        <v>1000</v>
      </c>
      <c r="L33" s="21">
        <f t="shared" ca="1" si="0"/>
        <v>44728</v>
      </c>
    </row>
    <row r="34" spans="1:16" x14ac:dyDescent="0.25">
      <c r="B34" s="19">
        <v>1000</v>
      </c>
      <c r="F34">
        <v>1000</v>
      </c>
      <c r="L34" s="22">
        <f t="shared" ca="1" si="0"/>
        <v>44728</v>
      </c>
    </row>
    <row r="35" spans="1:16" x14ac:dyDescent="0.25">
      <c r="B35" s="14">
        <v>1000</v>
      </c>
      <c r="F35" s="26"/>
      <c r="L35" s="23">
        <f t="shared" ca="1" si="0"/>
        <v>44728</v>
      </c>
    </row>
    <row r="36" spans="1:16" x14ac:dyDescent="0.25">
      <c r="B36" s="15">
        <v>1000</v>
      </c>
      <c r="F36" t="s">
        <v>21</v>
      </c>
      <c r="L36" s="24">
        <f t="shared" ca="1" si="0"/>
        <v>44728</v>
      </c>
    </row>
    <row r="37" spans="1:16" x14ac:dyDescent="0.25">
      <c r="B37" s="17">
        <v>1000</v>
      </c>
      <c r="F37">
        <v>25</v>
      </c>
      <c r="G37" s="11">
        <v>25</v>
      </c>
      <c r="L37" s="25">
        <f t="shared" ca="1" si="0"/>
        <v>44728</v>
      </c>
    </row>
    <row r="38" spans="1:16" x14ac:dyDescent="0.25">
      <c r="H38" s="13"/>
      <c r="M38" s="25"/>
    </row>
    <row r="39" spans="1:16" x14ac:dyDescent="0.25">
      <c r="A39" t="s">
        <v>19</v>
      </c>
      <c r="B39" s="10" t="s">
        <v>22</v>
      </c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</row>
    <row r="41" spans="1:16" x14ac:dyDescent="0.25">
      <c r="D41" t="s">
        <v>23</v>
      </c>
    </row>
    <row r="44" spans="1:16" x14ac:dyDescent="0.25">
      <c r="A44" t="s">
        <v>19</v>
      </c>
      <c r="B44" s="10" t="s">
        <v>15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1:16" x14ac:dyDescent="0.25">
      <c r="B45" s="3" t="s">
        <v>24</v>
      </c>
    </row>
    <row r="46" spans="1:16" x14ac:dyDescent="0.25">
      <c r="B46" cm="1">
        <f t="array" ref="B46">sheetCount()</f>
        <v>9</v>
      </c>
      <c r="C46" t="str">
        <f ca="1">_xlfn.FORMULATEXT(B46)</f>
        <v>=sheetCount()</v>
      </c>
    </row>
    <row r="48" spans="1:16" x14ac:dyDescent="0.25">
      <c r="B48" s="3" t="s">
        <v>25</v>
      </c>
    </row>
    <row r="49" spans="1:16" x14ac:dyDescent="0.25">
      <c r="B49">
        <v>1</v>
      </c>
      <c r="C49" t="str" cm="1">
        <f t="array" ref="C49">sheetName(B49)</f>
        <v>Examples</v>
      </c>
    </row>
    <row r="50" spans="1:16" x14ac:dyDescent="0.25">
      <c r="B50">
        <v>2</v>
      </c>
      <c r="C50" t="str" cm="1">
        <f t="array" ref="C50">sheetName(B50)</f>
        <v>Sheet2</v>
      </c>
      <c r="D50" t="str">
        <f ca="1">_xlfn.FORMULATEXT(C50)</f>
        <v>=sheetName(B50)</v>
      </c>
    </row>
    <row r="51" spans="1:16" x14ac:dyDescent="0.25">
      <c r="B51">
        <v>3</v>
      </c>
      <c r="C51" t="str" cm="1">
        <f t="array" ref="C51">sheetName(B51)</f>
        <v>Sheet3</v>
      </c>
      <c r="D51" t="str">
        <f ca="1">_xlfn.FORMULATEXT(C51)</f>
        <v>=sheetName(B51)</v>
      </c>
    </row>
    <row r="52" spans="1:16" x14ac:dyDescent="0.25">
      <c r="B52">
        <v>4</v>
      </c>
      <c r="C52" t="str" cm="1">
        <f t="array" ref="C52">sheetName(B52)</f>
        <v>Sheet4</v>
      </c>
      <c r="D52" t="str">
        <f ca="1">_xlfn.FORMULATEXT(C52)</f>
        <v>=sheetName(B52)</v>
      </c>
    </row>
    <row r="53" spans="1:16" x14ac:dyDescent="0.25">
      <c r="B53">
        <v>5</v>
      </c>
      <c r="C53" t="str" cm="1">
        <f t="array" ref="C53">sheetName(B53)</f>
        <v>Sheet5</v>
      </c>
      <c r="D53" t="str">
        <f ca="1">_xlfn.FORMULATEXT(C53)</f>
        <v>=sheetName(B53)</v>
      </c>
    </row>
    <row r="55" spans="1:16" x14ac:dyDescent="0.25">
      <c r="B55" s="3" t="s">
        <v>29</v>
      </c>
    </row>
    <row r="56" spans="1:16" x14ac:dyDescent="0.25">
      <c r="B56" s="12" t="s">
        <v>26</v>
      </c>
    </row>
    <row r="57" spans="1:16" x14ac:dyDescent="0.25">
      <c r="B57" s="12" t="s">
        <v>27</v>
      </c>
    </row>
    <row r="58" spans="1:16" x14ac:dyDescent="0.25">
      <c r="B58" s="12" t="s">
        <v>28</v>
      </c>
    </row>
    <row r="60" spans="1:16" x14ac:dyDescent="0.25">
      <c r="B60" t="str" cm="1">
        <f t="array" ref="B60">CustConcat("; ", B56:B58)</f>
        <v>bogdan.tudose@marqueegroup.ca; abc@gmail.com; efg@hotmail.com</v>
      </c>
    </row>
    <row r="61" spans="1:16" x14ac:dyDescent="0.25">
      <c r="B61" t="str">
        <f ca="1">_xlfn.FORMULATEXT(B60)</f>
        <v>=CustConcat("; ", B56:B58)</v>
      </c>
    </row>
    <row r="62" spans="1:16" x14ac:dyDescent="0.25">
      <c r="A62" t="s">
        <v>19</v>
      </c>
      <c r="B62" s="10" t="s">
        <v>37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</row>
    <row r="63" spans="1:16" x14ac:dyDescent="0.25">
      <c r="B63" s="33" t="s">
        <v>38</v>
      </c>
    </row>
    <row r="65" spans="1:16" x14ac:dyDescent="0.25">
      <c r="B65" t="s">
        <v>39</v>
      </c>
      <c r="C65" s="30">
        <v>100</v>
      </c>
      <c r="E65" t="s">
        <v>42</v>
      </c>
      <c r="F65" s="34">
        <v>0.03</v>
      </c>
      <c r="H65" t="s">
        <v>45</v>
      </c>
      <c r="I65" s="35" cm="1">
        <f t="array" ref="I65">CallOption(C65,C66,C67,F65,F66,F67)</f>
        <v>10.762394626337148</v>
      </c>
      <c r="J65" t="str">
        <f ca="1">_xlfn.FORMULATEXT(I65)</f>
        <v>=CallOption(C65,C66,C67,F65,F66,F67)</v>
      </c>
    </row>
    <row r="66" spans="1:16" x14ac:dyDescent="0.25">
      <c r="B66" t="s">
        <v>40</v>
      </c>
      <c r="C66" s="30">
        <v>100</v>
      </c>
      <c r="E66" t="s">
        <v>43</v>
      </c>
      <c r="F66" s="34">
        <v>0.25</v>
      </c>
      <c r="H66" t="s">
        <v>46</v>
      </c>
      <c r="I66" s="35" cm="1">
        <f t="array" ref="I66">putOption(C65,C66,C67,F65,F66,F67)</f>
        <v>8.8019646062711701</v>
      </c>
      <c r="J66" t="str">
        <f ca="1">_xlfn.FORMULATEXT(I66)</f>
        <v>=putOption(C65,C66,C67,F65,F66,F67)</v>
      </c>
    </row>
    <row r="67" spans="1:16" x14ac:dyDescent="0.25">
      <c r="B67" t="s">
        <v>41</v>
      </c>
      <c r="C67" s="30">
        <v>1</v>
      </c>
      <c r="E67" t="s">
        <v>44</v>
      </c>
      <c r="F67" s="34">
        <v>0.01</v>
      </c>
    </row>
    <row r="70" spans="1:16" x14ac:dyDescent="0.25">
      <c r="A70" t="s">
        <v>19</v>
      </c>
      <c r="B70" s="10" t="s">
        <v>33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</row>
    <row r="71" spans="1:16" x14ac:dyDescent="0.25">
      <c r="F71" s="32" t="s">
        <v>35</v>
      </c>
      <c r="J71" s="32" t="s">
        <v>36</v>
      </c>
    </row>
    <row r="72" spans="1:16" x14ac:dyDescent="0.25">
      <c r="F72" s="31" t="s">
        <v>34</v>
      </c>
      <c r="J72" s="31" t="s">
        <v>34</v>
      </c>
      <c r="K72" s="31" t="s">
        <v>47</v>
      </c>
    </row>
    <row r="73" spans="1:16" x14ac:dyDescent="0.25">
      <c r="B73" t="str">
        <f ca="1">_xlfn.FORMULATEXT(B74)</f>
        <v>=YFinAllFields()</v>
      </c>
      <c r="F73" t="str">
        <f ca="1">_xlfn.FORMULATEXT(F74)</f>
        <v>=YFinStockDownloadAll(F72)</v>
      </c>
    </row>
    <row r="74" spans="1:16" x14ac:dyDescent="0.25">
      <c r="B74" t="str" cm="1">
        <f t="array" ref="B74:B148">YFinAllFields()</f>
        <v>language</v>
      </c>
      <c r="F74" t="str" cm="1">
        <f t="array" ref="F74:G148">YFinStockDownloadAll(F72)</f>
        <v>language:</v>
      </c>
      <c r="G74" t="str">
        <v>en-US</v>
      </c>
      <c r="J74" cm="1">
        <f t="array" ref="J74">YFinStockDownload(J72,K72)</f>
        <v>135.43</v>
      </c>
      <c r="K74" t="str">
        <f ca="1">_xlfn.FORMULATEXT(J74)</f>
        <v>=YFinStockDownload(J72,K72)</v>
      </c>
    </row>
    <row r="75" spans="1:16" x14ac:dyDescent="0.25">
      <c r="B75" t="str">
        <v>region</v>
      </c>
      <c r="F75" t="str">
        <v>region:</v>
      </c>
      <c r="G75" t="str">
        <v>US</v>
      </c>
    </row>
    <row r="76" spans="1:16" x14ac:dyDescent="0.25">
      <c r="B76" t="str">
        <v>quoteType</v>
      </c>
      <c r="F76" t="str">
        <v>quoteType:</v>
      </c>
      <c r="G76" t="str">
        <v>EQUITY</v>
      </c>
    </row>
    <row r="77" spans="1:16" x14ac:dyDescent="0.25">
      <c r="B77" t="str">
        <v>quoteSourceName</v>
      </c>
      <c r="F77" t="str">
        <v>typeDisp:</v>
      </c>
      <c r="G77" t="str">
        <v>Equity</v>
      </c>
    </row>
    <row r="78" spans="1:16" x14ac:dyDescent="0.25">
      <c r="B78" t="str">
        <v>triggerable</v>
      </c>
      <c r="F78" t="str">
        <v>quoteSourceName:</v>
      </c>
      <c r="G78" t="str">
        <v>Nasdaq Real Time Price</v>
      </c>
    </row>
    <row r="79" spans="1:16" x14ac:dyDescent="0.25">
      <c r="B79" t="str">
        <v>currency</v>
      </c>
      <c r="F79" t="str">
        <v>triggerable:</v>
      </c>
      <c r="G79" t="str">
        <v>true</v>
      </c>
    </row>
    <row r="80" spans="1:16" x14ac:dyDescent="0.25">
      <c r="B80" t="str">
        <v>fiftyTwoWeekHighChange</v>
      </c>
      <c r="F80" t="str">
        <v>customPriceAlertConfidence:</v>
      </c>
      <c r="G80" t="str">
        <v>HIGH</v>
      </c>
    </row>
    <row r="81" spans="2:7" x14ac:dyDescent="0.25">
      <c r="B81" t="str">
        <v>fiftyTwoWeekHighChangePercent</v>
      </c>
      <c r="F81" t="str">
        <v>currency:</v>
      </c>
      <c r="G81" t="str">
        <v>USD</v>
      </c>
    </row>
    <row r="82" spans="2:7" x14ac:dyDescent="0.25">
      <c r="B82" t="str">
        <v>fiftyTwoWeekLow</v>
      </c>
      <c r="F82" t="str">
        <v>priceHint:</v>
      </c>
      <c r="G82">
        <v>2</v>
      </c>
    </row>
    <row r="83" spans="2:7" x14ac:dyDescent="0.25">
      <c r="B83" t="str">
        <v>fiftyTwoWeekHigh</v>
      </c>
      <c r="F83" t="str">
        <v>regularMarketChange:</v>
      </c>
      <c r="G83">
        <v>-5.6149899999999997</v>
      </c>
    </row>
    <row r="84" spans="2:7" x14ac:dyDescent="0.25">
      <c r="B84" t="str">
        <v>dividendDate</v>
      </c>
      <c r="F84" t="str">
        <v>regularMarketChangePercent:</v>
      </c>
      <c r="G84">
        <v>-4.1460460000000001</v>
      </c>
    </row>
    <row r="85" spans="2:7" x14ac:dyDescent="0.25">
      <c r="B85" t="str">
        <v>earningsTimestamp</v>
      </c>
      <c r="F85" t="str">
        <v>regularMarketTime:</v>
      </c>
      <c r="G85">
        <v>1655403956</v>
      </c>
    </row>
    <row r="86" spans="2:7" x14ac:dyDescent="0.25">
      <c r="B86" t="str">
        <v>earningsTimestampStart</v>
      </c>
      <c r="F86" t="str">
        <v>regularMarketPrice:</v>
      </c>
      <c r="G86">
        <v>129.815</v>
      </c>
    </row>
    <row r="87" spans="2:7" x14ac:dyDescent="0.25">
      <c r="B87" t="str">
        <v>earningsTimestampEnd</v>
      </c>
      <c r="F87" t="str">
        <v>regularMarketDayHigh:</v>
      </c>
      <c r="G87">
        <v>132.38999999999999</v>
      </c>
    </row>
    <row r="88" spans="2:7" x14ac:dyDescent="0.25">
      <c r="B88" t="str">
        <v>trailingAnnualDividendRate</v>
      </c>
      <c r="F88" t="str">
        <v>regularMarketDayRange:</v>
      </c>
      <c r="G88" t="str">
        <v>129.68 - 132.39</v>
      </c>
    </row>
    <row r="89" spans="2:7" x14ac:dyDescent="0.25">
      <c r="B89" t="str">
        <v>trailingPE</v>
      </c>
      <c r="F89" t="str">
        <v>regularMarketDayLow:</v>
      </c>
      <c r="G89">
        <v>129.68</v>
      </c>
    </row>
    <row r="90" spans="2:7" x14ac:dyDescent="0.25">
      <c r="B90" t="str">
        <v>trailingAnnualDividendYield</v>
      </c>
      <c r="F90" t="str">
        <v>regularMarketVolume:</v>
      </c>
      <c r="G90">
        <v>65699254</v>
      </c>
    </row>
    <row r="91" spans="2:7" x14ac:dyDescent="0.25">
      <c r="B91" t="str">
        <v>epsTrailingTwelveMonths</v>
      </c>
      <c r="F91" t="str">
        <v>regularMarketPreviousClose:</v>
      </c>
      <c r="G91">
        <v>135.43</v>
      </c>
    </row>
    <row r="92" spans="2:7" x14ac:dyDescent="0.25">
      <c r="B92" t="str">
        <v>epsForward</v>
      </c>
      <c r="F92" t="str">
        <v>bid:</v>
      </c>
      <c r="G92">
        <v>129.79</v>
      </c>
    </row>
    <row r="93" spans="2:7" x14ac:dyDescent="0.25">
      <c r="B93" t="str">
        <v>epsCurrentYear</v>
      </c>
      <c r="F93" t="str">
        <v>ask:</v>
      </c>
      <c r="G93">
        <v>129.81</v>
      </c>
    </row>
    <row r="94" spans="2:7" x14ac:dyDescent="0.25">
      <c r="B94" t="str">
        <v>priceEpsCurrentYear</v>
      </c>
      <c r="F94" t="str">
        <v>bidSize:</v>
      </c>
      <c r="G94">
        <v>8</v>
      </c>
    </row>
    <row r="95" spans="2:7" x14ac:dyDescent="0.25">
      <c r="B95" t="str">
        <v>sharesOutstanding</v>
      </c>
      <c r="F95" t="str">
        <v>askSize:</v>
      </c>
      <c r="G95">
        <v>8</v>
      </c>
    </row>
    <row r="96" spans="2:7" x14ac:dyDescent="0.25">
      <c r="B96" t="str">
        <v>bookValue</v>
      </c>
      <c r="F96" t="str">
        <v>fullExchangeName:</v>
      </c>
      <c r="G96" t="str">
        <v>NasdaqGS</v>
      </c>
    </row>
    <row r="97" spans="2:7" x14ac:dyDescent="0.25">
      <c r="B97" t="str">
        <v>fiftyDayAverage</v>
      </c>
      <c r="F97" t="str">
        <v>financialCurrency:</v>
      </c>
      <c r="G97" t="str">
        <v>USD</v>
      </c>
    </row>
    <row r="98" spans="2:7" x14ac:dyDescent="0.25">
      <c r="B98" t="str">
        <v>fiftyDayAverageChange</v>
      </c>
      <c r="F98" t="str">
        <v>regularMarketOpen:</v>
      </c>
      <c r="G98">
        <v>132.08000000000001</v>
      </c>
    </row>
    <row r="99" spans="2:7" x14ac:dyDescent="0.25">
      <c r="B99" t="str">
        <v>fiftyDayAverageChangePercent</v>
      </c>
      <c r="F99" t="str">
        <v>averageDailyVolume3Month:</v>
      </c>
      <c r="G99">
        <v>95371561</v>
      </c>
    </row>
    <row r="100" spans="2:7" x14ac:dyDescent="0.25">
      <c r="B100" t="str">
        <v>twoHundredDayAverage</v>
      </c>
      <c r="F100" t="str">
        <v>averageDailyVolume10Day:</v>
      </c>
      <c r="G100">
        <v>81343130</v>
      </c>
    </row>
    <row r="101" spans="2:7" x14ac:dyDescent="0.25">
      <c r="B101" t="str">
        <v>twoHundredDayAverageChange</v>
      </c>
      <c r="F101" t="str">
        <v>exchange:</v>
      </c>
      <c r="G101" t="str">
        <v>NMS</v>
      </c>
    </row>
    <row r="102" spans="2:7" x14ac:dyDescent="0.25">
      <c r="B102" t="str">
        <v>twoHundredDayAverageChangePercent</v>
      </c>
      <c r="F102" t="str">
        <v>shortName:</v>
      </c>
      <c r="G102" t="str">
        <v>Apple Inc.</v>
      </c>
    </row>
    <row r="103" spans="2:7" x14ac:dyDescent="0.25">
      <c r="B103" t="str">
        <v>marketCap</v>
      </c>
      <c r="F103" t="str">
        <v>longName:</v>
      </c>
      <c r="G103" t="str">
        <v>Apple Inc.</v>
      </c>
    </row>
    <row r="104" spans="2:7" x14ac:dyDescent="0.25">
      <c r="B104" t="str">
        <v>forwardPE</v>
      </c>
      <c r="F104" t="str">
        <v>messageBoardId:</v>
      </c>
      <c r="G104" t="str">
        <v>finmb_24937</v>
      </c>
    </row>
    <row r="105" spans="2:7" x14ac:dyDescent="0.25">
      <c r="B105" t="str">
        <v>priceToBook</v>
      </c>
      <c r="F105" t="str">
        <v>exchangeTimezoneName:</v>
      </c>
      <c r="G105" t="str">
        <v>America/New_York</v>
      </c>
    </row>
    <row r="106" spans="2:7" x14ac:dyDescent="0.25">
      <c r="B106" t="str">
        <v>sourceInterval</v>
      </c>
      <c r="F106" t="str">
        <v>exchangeTimezoneShortName:</v>
      </c>
      <c r="G106" t="str">
        <v>EDT</v>
      </c>
    </row>
    <row r="107" spans="2:7" x14ac:dyDescent="0.25">
      <c r="B107" t="str">
        <v>exchangeDataDelayedBy</v>
      </c>
      <c r="F107" t="str">
        <v>gmtOffSetMilliseconds:</v>
      </c>
      <c r="G107">
        <v>-14400000</v>
      </c>
    </row>
    <row r="108" spans="2:7" x14ac:dyDescent="0.25">
      <c r="B108" t="str">
        <v>averageAnalystRating</v>
      </c>
      <c r="F108" t="str">
        <v>market:</v>
      </c>
      <c r="G108" t="str">
        <v>us_market</v>
      </c>
    </row>
    <row r="109" spans="2:7" x14ac:dyDescent="0.25">
      <c r="B109" t="str">
        <v>firstTradeDateMilliseconds</v>
      </c>
      <c r="F109" t="str">
        <v>esgPopulated:</v>
      </c>
      <c r="G109" t="str">
        <v>false</v>
      </c>
    </row>
    <row r="110" spans="2:7" x14ac:dyDescent="0.25">
      <c r="B110" t="str">
        <v>priceHint</v>
      </c>
      <c r="F110" t="str">
        <v>fiftyTwoWeekLowChange:</v>
      </c>
      <c r="G110">
        <v>0.60499570000000003</v>
      </c>
    </row>
    <row r="111" spans="2:7" x14ac:dyDescent="0.25">
      <c r="B111" t="str">
        <v>postMarketChangePercent</v>
      </c>
      <c r="F111" t="str">
        <v>fiftyTwoWeekLowChangePercent:</v>
      </c>
      <c r="G111">
        <v>4.6822666000000002E-3</v>
      </c>
    </row>
    <row r="112" spans="2:7" x14ac:dyDescent="0.25">
      <c r="B112" t="str">
        <v>postMarketTime</v>
      </c>
      <c r="F112" t="str">
        <v>fiftyTwoWeekRange:</v>
      </c>
      <c r="G112" t="str">
        <v>129.21 - 182.94</v>
      </c>
    </row>
    <row r="113" spans="2:7" x14ac:dyDescent="0.25">
      <c r="B113" t="str">
        <v>postMarketPrice</v>
      </c>
      <c r="F113" t="str">
        <v>fiftyTwoWeekHighChange:</v>
      </c>
      <c r="G113">
        <v>-53.125</v>
      </c>
    </row>
    <row r="114" spans="2:7" x14ac:dyDescent="0.25">
      <c r="B114" t="str">
        <v>postMarketChange</v>
      </c>
      <c r="F114" t="str">
        <v>fiftyTwoWeekHighChangePercent:</v>
      </c>
      <c r="G114">
        <v>-0.29039577</v>
      </c>
    </row>
    <row r="115" spans="2:7" x14ac:dyDescent="0.25">
      <c r="B115" t="str">
        <v>regularMarketChange</v>
      </c>
      <c r="F115" t="str">
        <v>fiftyTwoWeekLow:</v>
      </c>
      <c r="G115">
        <v>129.21</v>
      </c>
    </row>
    <row r="116" spans="2:7" x14ac:dyDescent="0.25">
      <c r="B116" t="str">
        <v>regularMarketChangePercent</v>
      </c>
      <c r="F116" t="str">
        <v>fiftyTwoWeekHigh:</v>
      </c>
      <c r="G116">
        <v>182.94</v>
      </c>
    </row>
    <row r="117" spans="2:7" x14ac:dyDescent="0.25">
      <c r="B117" t="str">
        <v>regularMarketTime</v>
      </c>
      <c r="F117" t="str">
        <v>dividendDate:</v>
      </c>
      <c r="G117">
        <v>1652313600</v>
      </c>
    </row>
    <row r="118" spans="2:7" x14ac:dyDescent="0.25">
      <c r="B118" t="str">
        <v>regularMarketPrice</v>
      </c>
      <c r="F118" t="str">
        <v>earningsTimestamp:</v>
      </c>
      <c r="G118">
        <v>1651163400</v>
      </c>
    </row>
    <row r="119" spans="2:7" x14ac:dyDescent="0.25">
      <c r="B119" t="str">
        <v>regularMarketDayHigh</v>
      </c>
      <c r="F119" t="str">
        <v>earningsTimestampStart:</v>
      </c>
      <c r="G119">
        <v>1658779200</v>
      </c>
    </row>
    <row r="120" spans="2:7" x14ac:dyDescent="0.25">
      <c r="B120" t="str">
        <v>regularMarketDayRange</v>
      </c>
      <c r="F120" t="str">
        <v>earningsTimestampEnd:</v>
      </c>
      <c r="G120">
        <v>1659124800</v>
      </c>
    </row>
    <row r="121" spans="2:7" x14ac:dyDescent="0.25">
      <c r="B121" t="str">
        <v>regularMarketDayLow</v>
      </c>
      <c r="F121" t="str">
        <v>trailingAnnualDividendRate:</v>
      </c>
      <c r="G121">
        <v>0.88</v>
      </c>
    </row>
    <row r="122" spans="2:7" x14ac:dyDescent="0.25">
      <c r="B122" t="str">
        <v>regularMarketVolume</v>
      </c>
      <c r="F122" t="str">
        <v>trailingPE:</v>
      </c>
      <c r="G122">
        <v>21.152843000000001</v>
      </c>
    </row>
    <row r="123" spans="2:7" x14ac:dyDescent="0.25">
      <c r="B123" t="str">
        <v>regularMarketPreviousClose</v>
      </c>
      <c r="F123" t="str">
        <v>trailingAnnualDividendYield:</v>
      </c>
      <c r="G123">
        <v>6.4978222000000004E-3</v>
      </c>
    </row>
    <row r="124" spans="2:7" x14ac:dyDescent="0.25">
      <c r="B124" t="str">
        <v>bid</v>
      </c>
      <c r="F124" t="str">
        <v>epsTrailingTwelveMonths:</v>
      </c>
      <c r="G124">
        <v>6.1369999999999996</v>
      </c>
    </row>
    <row r="125" spans="2:7" x14ac:dyDescent="0.25">
      <c r="B125" t="str">
        <v>ask</v>
      </c>
      <c r="F125" t="str">
        <v>epsForward:</v>
      </c>
      <c r="G125">
        <v>6.55</v>
      </c>
    </row>
    <row r="126" spans="2:7" x14ac:dyDescent="0.25">
      <c r="B126" t="str">
        <v>bidSize</v>
      </c>
      <c r="F126" t="str">
        <v>epsCurrentYear:</v>
      </c>
      <c r="G126">
        <v>6.14</v>
      </c>
    </row>
    <row r="127" spans="2:7" x14ac:dyDescent="0.25">
      <c r="B127" t="str">
        <v>askSize</v>
      </c>
      <c r="F127" t="str">
        <v>priceEpsCurrentYear:</v>
      </c>
      <c r="G127">
        <v>21.142510000000001</v>
      </c>
    </row>
    <row r="128" spans="2:7" x14ac:dyDescent="0.25">
      <c r="B128" t="str">
        <v>fullExchangeName</v>
      </c>
      <c r="F128" t="str">
        <v>sharesOutstanding:</v>
      </c>
      <c r="G128">
        <v>16185199616</v>
      </c>
    </row>
    <row r="129" spans="2:7" x14ac:dyDescent="0.25">
      <c r="B129" t="str">
        <v>financialCurrency</v>
      </c>
      <c r="F129" t="str">
        <v>bookValue:</v>
      </c>
      <c r="G129">
        <v>4.1580000000000004</v>
      </c>
    </row>
    <row r="130" spans="2:7" x14ac:dyDescent="0.25">
      <c r="B130" t="str">
        <v>regularMarketOpen</v>
      </c>
      <c r="F130" t="str">
        <v>fiftyDayAverage:</v>
      </c>
      <c r="G130">
        <v>153.3732</v>
      </c>
    </row>
    <row r="131" spans="2:7" x14ac:dyDescent="0.25">
      <c r="B131" t="str">
        <v>averageDailyVolume3Month</v>
      </c>
      <c r="F131" t="str">
        <v>fiftyDayAverageChange:</v>
      </c>
      <c r="G131">
        <v>-23.558197</v>
      </c>
    </row>
    <row r="132" spans="2:7" x14ac:dyDescent="0.25">
      <c r="B132" t="str">
        <v>averageDailyVolume10Day</v>
      </c>
      <c r="F132" t="str">
        <v>fiftyDayAverageChangePercent:</v>
      </c>
      <c r="G132">
        <v>-0.15360048000000001</v>
      </c>
    </row>
    <row r="133" spans="2:7" x14ac:dyDescent="0.25">
      <c r="B133" t="str">
        <v>fiftyTwoWeekLowChange</v>
      </c>
      <c r="F133" t="str">
        <v>twoHundredDayAverage:</v>
      </c>
      <c r="G133">
        <v>159.14089999999999</v>
      </c>
    </row>
    <row r="134" spans="2:7" x14ac:dyDescent="0.25">
      <c r="B134" t="str">
        <v>fiftyTwoWeekLowChangePercent</v>
      </c>
      <c r="F134" t="str">
        <v>twoHundredDayAverageChange:</v>
      </c>
      <c r="G134">
        <v>-29.325897000000001</v>
      </c>
    </row>
    <row r="135" spans="2:7" x14ac:dyDescent="0.25">
      <c r="B135" t="str">
        <v>fiftyTwoWeekRange</v>
      </c>
      <c r="F135" t="str">
        <v>twoHundredDayAverageChangePercent:</v>
      </c>
      <c r="G135">
        <v>-0.18427631</v>
      </c>
    </row>
    <row r="136" spans="2:7" x14ac:dyDescent="0.25">
      <c r="B136" t="str">
        <v>tradeable</v>
      </c>
      <c r="F136" t="str">
        <v>marketCap:</v>
      </c>
      <c r="G136">
        <v>2101081669632</v>
      </c>
    </row>
    <row r="137" spans="2:7" x14ac:dyDescent="0.25">
      <c r="B137" t="str">
        <v>marketState</v>
      </c>
      <c r="F137" t="str">
        <v>forwardPE:</v>
      </c>
      <c r="G137">
        <v>19.819084</v>
      </c>
    </row>
    <row r="138" spans="2:7" x14ac:dyDescent="0.25">
      <c r="B138" t="str">
        <v>shortName</v>
      </c>
      <c r="F138" t="str">
        <v>priceToBook:</v>
      </c>
      <c r="G138">
        <v>31.22054</v>
      </c>
    </row>
    <row r="139" spans="2:7" x14ac:dyDescent="0.25">
      <c r="B139" t="str">
        <v>exchange</v>
      </c>
      <c r="F139" t="str">
        <v>sourceInterval:</v>
      </c>
      <c r="G139">
        <v>15</v>
      </c>
    </row>
    <row r="140" spans="2:7" x14ac:dyDescent="0.25">
      <c r="B140" t="str">
        <v>longName</v>
      </c>
      <c r="F140" t="str">
        <v>exchangeDataDelayedBy:</v>
      </c>
      <c r="G140">
        <v>0</v>
      </c>
    </row>
    <row r="141" spans="2:7" x14ac:dyDescent="0.25">
      <c r="B141" t="str">
        <v>messageBoardId</v>
      </c>
      <c r="F141" t="str">
        <v>pageViewGrowthWeekly:</v>
      </c>
      <c r="G141">
        <v>0.14623457000000001</v>
      </c>
    </row>
    <row r="142" spans="2:7" x14ac:dyDescent="0.25">
      <c r="B142" t="str">
        <v>exchangeTimezoneName</v>
      </c>
      <c r="F142" t="str">
        <v>averageAnalystRating:</v>
      </c>
      <c r="G142" t="str">
        <v>1.9 - Buy</v>
      </c>
    </row>
    <row r="143" spans="2:7" x14ac:dyDescent="0.25">
      <c r="B143" t="str">
        <v>exchangeTimezoneShortName</v>
      </c>
      <c r="F143" t="str">
        <v>tradeable:</v>
      </c>
      <c r="G143" t="str">
        <v>false</v>
      </c>
    </row>
    <row r="144" spans="2:7" x14ac:dyDescent="0.25">
      <c r="B144" t="str">
        <v>gmtOffSetMilliseconds</v>
      </c>
      <c r="F144" t="str">
        <v>marketState:</v>
      </c>
      <c r="G144" t="str">
        <v>REGULAR</v>
      </c>
    </row>
    <row r="145" spans="2:7" x14ac:dyDescent="0.25">
      <c r="B145" t="str">
        <v>market</v>
      </c>
      <c r="F145" t="str">
        <v>firstTradeDateMilliseconds:</v>
      </c>
      <c r="G145">
        <v>345479400000</v>
      </c>
    </row>
    <row r="146" spans="2:7" x14ac:dyDescent="0.25">
      <c r="B146" t="str">
        <v>esgPopulated</v>
      </c>
      <c r="F146" t="str">
        <v>displayName:</v>
      </c>
      <c r="G146" t="str">
        <v>Apple</v>
      </c>
    </row>
    <row r="147" spans="2:7" x14ac:dyDescent="0.25">
      <c r="B147" t="str">
        <v>displayName</v>
      </c>
      <c r="F147" t="str">
        <v>symbol:</v>
      </c>
      <c r="G147" t="str">
        <v>AAPL</v>
      </c>
    </row>
    <row r="148" spans="2:7" x14ac:dyDescent="0.25">
      <c r="B148" t="str">
        <v>symbol</v>
      </c>
      <c r="F148" t="str">
        <v>error:</v>
      </c>
      <c r="G148" t="str">
        <v>null</v>
      </c>
    </row>
  </sheetData>
  <dataValidations count="1">
    <dataValidation type="list" allowBlank="1" showInputMessage="1" showErrorMessage="1" sqref="K72" xr:uid="{DEF5A103-C5FC-48CB-AFBF-108A8CE703F6}">
      <formula1>$B$74:$B$148</formula1>
    </dataValidation>
  </dataValidations>
  <hyperlinks>
    <hyperlink ref="B56" r:id="rId1" xr:uid="{B5495395-5D5A-49B1-B53A-FD8ECA3F75CF}"/>
    <hyperlink ref="B57" r:id="rId2" xr:uid="{262B83C5-2E8D-4674-8776-F88302144065}"/>
    <hyperlink ref="B58" r:id="rId3" xr:uid="{53CC50BE-AF7C-48EA-A408-0DD521CC73BC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utoColorSelection">
                <anchor moveWithCells="1" sizeWithCells="1">
                  <from>
                    <xdr:col>11</xdr:col>
                    <xdr:colOff>161925</xdr:colOff>
                    <xdr:row>3</xdr:row>
                    <xdr:rowOff>133350</xdr:rowOff>
                  </from>
                  <to>
                    <xdr:col>13</xdr:col>
                    <xdr:colOff>400050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resetFont">
                <anchor moveWithCells="1" sizeWithCells="1">
                  <from>
                    <xdr:col>11</xdr:col>
                    <xdr:colOff>180975</xdr:colOff>
                    <xdr:row>6</xdr:row>
                    <xdr:rowOff>171450</xdr:rowOff>
                  </from>
                  <to>
                    <xdr:col>13</xdr:col>
                    <xdr:colOff>419100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noHighlight">
                <anchor moveWithCells="1" sizeWithCells="1">
                  <from>
                    <xdr:col>14</xdr:col>
                    <xdr:colOff>85725</xdr:colOff>
                    <xdr:row>3</xdr:row>
                    <xdr:rowOff>123825</xdr:rowOff>
                  </from>
                  <to>
                    <xdr:col>16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FontColorCycle">
                <anchor moveWithCells="1" sizeWithCells="1">
                  <from>
                    <xdr:col>14</xdr:col>
                    <xdr:colOff>85725</xdr:colOff>
                    <xdr:row>6</xdr:row>
                    <xdr:rowOff>161925</xdr:rowOff>
                  </from>
                  <to>
                    <xdr:col>16</xdr:col>
                    <xdr:colOff>323850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FillCycle">
                <anchor moveWithCells="1" sizeWithCells="1">
                  <from>
                    <xdr:col>14</xdr:col>
                    <xdr:colOff>76200</xdr:colOff>
                    <xdr:row>10</xdr:row>
                    <xdr:rowOff>66675</xdr:rowOff>
                  </from>
                  <to>
                    <xdr:col>16</xdr:col>
                    <xdr:colOff>314325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topBorder">
                <anchor moveWithCells="1" sizeWithCells="1">
                  <from>
                    <xdr:col>11</xdr:col>
                    <xdr:colOff>123825</xdr:colOff>
                    <xdr:row>17</xdr:row>
                    <xdr:rowOff>66675</xdr:rowOff>
                  </from>
                  <to>
                    <xdr:col>13</xdr:col>
                    <xdr:colOff>238125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bottomBorder">
                <anchor moveWithCells="1" sizeWithCells="1">
                  <from>
                    <xdr:col>13</xdr:col>
                    <xdr:colOff>428625</xdr:colOff>
                    <xdr:row>17</xdr:row>
                    <xdr:rowOff>66675</xdr:rowOff>
                  </from>
                  <to>
                    <xdr:col>15</xdr:col>
                    <xdr:colOff>552450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leftBorder">
                <anchor moveWithCells="1" sizeWithCells="1">
                  <from>
                    <xdr:col>11</xdr:col>
                    <xdr:colOff>123825</xdr:colOff>
                    <xdr:row>20</xdr:row>
                    <xdr:rowOff>66675</xdr:rowOff>
                  </from>
                  <to>
                    <xdr:col>13</xdr:col>
                    <xdr:colOff>247650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ightBorder">
                <anchor moveWithCells="1" sizeWithCells="1">
                  <from>
                    <xdr:col>13</xdr:col>
                    <xdr:colOff>428625</xdr:colOff>
                    <xdr:row>20</xdr:row>
                    <xdr:rowOff>66675</xdr:rowOff>
                  </from>
                  <to>
                    <xdr:col>15</xdr:col>
                    <xdr:colOff>542925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outlineBorder">
                <anchor moveWithCells="1" sizeWithCells="1">
                  <from>
                    <xdr:col>11</xdr:col>
                    <xdr:colOff>123825</xdr:colOff>
                    <xdr:row>23</xdr:row>
                    <xdr:rowOff>66675</xdr:rowOff>
                  </from>
                  <to>
                    <xdr:col>13</xdr:col>
                    <xdr:colOff>247650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Multiple">
                <anchor moveWithCells="1" sizeWithCells="1">
                  <from>
                    <xdr:col>7</xdr:col>
                    <xdr:colOff>219075</xdr:colOff>
                    <xdr:row>34</xdr:row>
                    <xdr:rowOff>161925</xdr:rowOff>
                  </from>
                  <to>
                    <xdr:col>9</xdr:col>
                    <xdr:colOff>209550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7" name="Button 12">
              <controlPr defaultSize="0" print="0" autoFill="0" autoPict="0" macro="[0]!sheetSelect">
                <anchor moveWithCells="1" sizeWithCells="1">
                  <from>
                    <xdr:col>0</xdr:col>
                    <xdr:colOff>219075</xdr:colOff>
                    <xdr:row>39</xdr:row>
                    <xdr:rowOff>123825</xdr:rowOff>
                  </from>
                  <to>
                    <xdr:col>2</xdr:col>
                    <xdr:colOff>447675</xdr:colOff>
                    <xdr:row>41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8" name="Button 13">
              <controlPr defaultSize="0" print="0" autoFill="0" autoPict="0" macro="[0]!CycleCurrFormats">
                <anchor moveWithCells="1" sizeWithCells="1">
                  <from>
                    <xdr:col>2</xdr:col>
                    <xdr:colOff>219075</xdr:colOff>
                    <xdr:row>30</xdr:row>
                    <xdr:rowOff>161925</xdr:rowOff>
                  </from>
                  <to>
                    <xdr:col>4</xdr:col>
                    <xdr:colOff>9525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9" name="Button 14">
              <controlPr defaultSize="0" print="0" autoFill="0" autoPict="0" macro="[0]!CycleDateFormats">
                <anchor moveWithCells="1" sizeWithCells="1">
                  <from>
                    <xdr:col>12</xdr:col>
                    <xdr:colOff>438150</xdr:colOff>
                    <xdr:row>29</xdr:row>
                    <xdr:rowOff>28575</xdr:rowOff>
                  </from>
                  <to>
                    <xdr:col>15</xdr:col>
                    <xdr:colOff>19050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0" name="Button 15">
              <controlPr defaultSize="0" print="0" autoFill="0" autoPict="0" macro="[0]!CycleNumberFormats">
                <anchor moveWithCells="1" sizeWithCells="1">
                  <from>
                    <xdr:col>7</xdr:col>
                    <xdr:colOff>85725</xdr:colOff>
                    <xdr:row>30</xdr:row>
                    <xdr:rowOff>104775</xdr:rowOff>
                  </from>
                  <to>
                    <xdr:col>8</xdr:col>
                    <xdr:colOff>352425</xdr:colOff>
                    <xdr:row>33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87558-7DDF-41F0-8210-BC689D555B82}">
  <sheetPr codeName="Sheet2"/>
  <dimension ref="A1"/>
  <sheetViews>
    <sheetView workbookViewId="0"/>
  </sheetViews>
  <sheetFormatPr defaultRowHeight="15" x14ac:dyDescent="0.25"/>
  <sheetData>
    <row r="1" spans="1:1" x14ac:dyDescent="0.25">
      <c r="A1">
        <v>33242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FE8E2-31A5-4905-BEA9-EEE39923F3C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DBE1-8CAA-4DD3-91CE-66211A4213AF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516F3-205D-46C0-BDF7-4333FEA1D5AF}">
  <sheetPr codeName="Sheet5"/>
  <dimension ref="A1"/>
  <sheetViews>
    <sheetView workbookViewId="0">
      <selection activeCell="H9" sqref="H9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36D9-DF3E-4652-AC5E-DA573E134DD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C62B7-E942-406D-906E-4619956C714E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8E673-2536-4406-B7FD-939326421687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9488-9E9D-431D-86C8-841F0DC3EB1B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Examples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Tudose</dc:creator>
  <cp:lastModifiedBy>Bogdan Tudose</cp:lastModifiedBy>
  <dcterms:created xsi:type="dcterms:W3CDTF">2019-03-04T21:30:58Z</dcterms:created>
  <dcterms:modified xsi:type="dcterms:W3CDTF">2022-06-16T18:35:03Z</dcterms:modified>
</cp:coreProperties>
</file>