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a076c027fa3c5fa/Desktop/VBA Class/Personal Macros/"/>
    </mc:Choice>
  </mc:AlternateContent>
  <xr:revisionPtr revIDLastSave="181" documentId="13_ncr:1_{E9A98D17-6827-4F19-919D-F0BC510251E6}" xr6:coauthVersionLast="47" xr6:coauthVersionMax="47" xr10:uidLastSave="{DCFDCB56-2B68-4AA9-9180-36469F2EE0B4}"/>
  <bookViews>
    <workbookView xWindow="-108" yWindow="-108" windowWidth="23256" windowHeight="12456" xr2:uid="{002E025E-C039-4257-878D-C4E6B1065600}"/>
  </bookViews>
  <sheets>
    <sheet name="Examples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4" i="1" l="1" a="1"/>
  <c r="J74" i="1" a="1"/>
  <c r="I66" i="1" a="1"/>
  <c r="I65" i="1" a="1"/>
  <c r="J66" i="1"/>
  <c r="J65" i="1"/>
  <c r="F74" i="1" l="1"/>
  <c r="J74" i="1"/>
  <c r="I66" i="1"/>
  <c r="I65" i="1"/>
  <c r="L37" i="1" l="1"/>
  <c r="L36" i="1"/>
  <c r="L35" i="1"/>
  <c r="L34" i="1"/>
  <c r="L33" i="1"/>
  <c r="L32" i="1"/>
  <c r="L31" i="1"/>
  <c r="I13" i="1" a="1"/>
  <c r="B74" i="1" a="1"/>
  <c r="B60" i="1" a="1"/>
  <c r="I14" i="1" a="1"/>
  <c r="I12" i="1" a="1"/>
  <c r="K74" i="1"/>
  <c r="B73" i="1"/>
  <c r="F73" i="1"/>
  <c r="B74" i="1" l="1"/>
  <c r="B60" i="1"/>
  <c r="I13" i="1"/>
  <c r="I12" i="1"/>
  <c r="I14" i="1"/>
  <c r="C51" i="1" a="1"/>
  <c r="C53" i="1" a="1"/>
  <c r="C49" i="1" a="1"/>
  <c r="C50" i="1" a="1"/>
  <c r="C52" i="1" a="1"/>
  <c r="B46" i="1" a="1"/>
  <c r="J14" i="1"/>
  <c r="D50" i="1"/>
  <c r="B61" i="1"/>
  <c r="D51" i="1"/>
  <c r="C46" i="1"/>
  <c r="D52" i="1"/>
  <c r="D53" i="1"/>
  <c r="C53" i="1" l="1"/>
  <c r="C52" i="1"/>
  <c r="C51" i="1"/>
  <c r="C50" i="1"/>
  <c r="C49" i="1"/>
  <c r="B46" i="1"/>
  <c r="I7" i="1"/>
  <c r="I6" i="1"/>
  <c r="G6" i="1"/>
  <c r="E6" i="1"/>
  <c r="J13" i="1"/>
  <c r="J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<sst xmlns="http://schemas.openxmlformats.org/spreadsheetml/2006/main" count="56" uniqueCount="48">
  <si>
    <t>HardCodes</t>
  </si>
  <si>
    <t>Links</t>
  </si>
  <si>
    <t>Formulas</t>
  </si>
  <si>
    <t>Hardcodes within formulas</t>
  </si>
  <si>
    <t>Top Border</t>
  </si>
  <si>
    <t>Bottom Border</t>
  </si>
  <si>
    <t>Left Border</t>
  </si>
  <si>
    <t>Right Border</t>
  </si>
  <si>
    <t>CTRL + ALT + Shift +</t>
  </si>
  <si>
    <t>Borders Shortcuts</t>
  </si>
  <si>
    <t>Up arrow</t>
  </si>
  <si>
    <t>Down arrow</t>
  </si>
  <si>
    <t>Left arrow</t>
  </si>
  <si>
    <t>Right arrow</t>
  </si>
  <si>
    <t>Use the same shortcut again to cycle between thin border, medium border, thick border, no border</t>
  </si>
  <si>
    <t>UDFs</t>
  </si>
  <si>
    <t>Test: highlight area and click the AutoFormat button or CTRL + ALT + A</t>
  </si>
  <si>
    <t>Font Color Cycle --&gt; CTRL + ALT + E (black, blue, green, magenta, red, reset)</t>
  </si>
  <si>
    <t>Formatting Shortcuts</t>
  </si>
  <si>
    <t>x</t>
  </si>
  <si>
    <t>Number Format Macros</t>
  </si>
  <si>
    <t>Ratio</t>
  </si>
  <si>
    <t>Navigation</t>
  </si>
  <si>
    <t>Jump to a tab quickly using the index (sheet number)</t>
  </si>
  <si>
    <t>Sheetcount: counts how many sheets are in the file</t>
  </si>
  <si>
    <t>SheetName(number): returns the name of the sheet (used for creating a quick Table of Contents)</t>
  </si>
  <si>
    <t>bogdan.tudose@marqueegroup.ca</t>
  </si>
  <si>
    <t>abc@gmail.com</t>
  </si>
  <si>
    <t>efg@hotmail.com</t>
  </si>
  <si>
    <t>CustConcat(seperator, cells): concatenates cells, similar to the new TextJoin formula in Excel</t>
  </si>
  <si>
    <t>Currency Format</t>
  </si>
  <si>
    <t>Date Format</t>
  </si>
  <si>
    <t>Number Formats</t>
  </si>
  <si>
    <t>Yahoo Finance UDFs</t>
  </si>
  <si>
    <t>AAPL</t>
  </si>
  <si>
    <t>Extracting all fields of a ticker:</t>
  </si>
  <si>
    <t>Extracting a specific field (e.g. regularMarketPrice, bid, ask, etc.):</t>
  </si>
  <si>
    <t>Black Scholes Formula</t>
  </si>
  <si>
    <t>=CallOption(UnderlyingPrice,ExercisePrice,Time,Interest,Volatility,Dividend)</t>
  </si>
  <si>
    <t>S (price)</t>
  </si>
  <si>
    <t>K (strike)</t>
  </si>
  <si>
    <t>T (years)</t>
  </si>
  <si>
    <t>Risk Free Rate</t>
  </si>
  <si>
    <t>Vol</t>
  </si>
  <si>
    <t>Div Yield</t>
  </si>
  <si>
    <t>Call</t>
  </si>
  <si>
    <t>Put</t>
  </si>
  <si>
    <t>regularMarketPreviousClose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</si>
</sst>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\x"/>
    <numFmt numFmtId="165" formatCode="&quot;$&quot;#,##0.0_);\(&quot;$&quot;#,##0.0\);\–_);General_)"/>
    <numFmt numFmtId="166" formatCode="_(&quot;$&quot;#,##0.0_)_%;_(\(&quot;$&quot;#,##0.0\)_%;_(&quot;–&quot;_)_%;@_(_%"/>
    <numFmt numFmtId="167" formatCode="&quot;$&quot;#,##0.0"/>
    <numFmt numFmtId="168" formatCode="[$€-2]\ #,##0.0_);\([$€-2]\ #,##0.0\);General_)"/>
    <numFmt numFmtId="169" formatCode="#,##0.0\ [$€-1]_);\(#,##0.0\ [$€-1]\);General_)"/>
    <numFmt numFmtId="170" formatCode="[$£-809]#,##0.0_);\([$£-809]#,##0.0\);General_)"/>
    <numFmt numFmtId="171" formatCode="[$¥-2]\ #,##0.0_);\([$¥-2]\ #,##0.0\);General_)"/>
    <numFmt numFmtId="172" formatCode="m/d/yy;@"/>
    <numFmt numFmtId="173" formatCode="mm/dd/yy;@"/>
    <numFmt numFmtId="174" formatCode="d\-mmm\-yyyy;@"/>
    <numFmt numFmtId="175" formatCode="mmmm\ d\,\ yyyy;@"/>
    <numFmt numFmtId="176" formatCode="mmm\ d\,\ yyyy;@"/>
    <numFmt numFmtId="177" formatCode="d\-mmm\-yy;@"/>
    <numFmt numFmtId="178" formatCode="_(#,##0.0_)_%;_(\(#,##0.0\)_%;_(&quot;–&quot;_)_%;@_(_%"/>
    <numFmt numFmtId="179" formatCode="#,##0.0_);\(#,##0.0\);\–_);General_)"/>
    <numFmt numFmtId="180" formatCode="&quot;$&quot;#,##0.0000_);[Red]\(&quot;$&quot;#,##0.0000\)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0" xfId="0" applyFill="1"/>
    <xf numFmtId="0" fontId="0" fillId="3" borderId="0" xfId="0" applyFill="1"/>
    <xf numFmtId="0" fontId="4" fillId="2" borderId="0" xfId="0" applyFont="1" applyFill="1"/>
    <xf numFmtId="164" fontId="0" fillId="0" borderId="0" xfId="0" applyNumberFormat="1"/>
    <xf numFmtId="0" fontId="5" fillId="0" borderId="0" xfId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4" fontId="0" fillId="0" borderId="0" xfId="0" applyNumberFormat="1"/>
    <xf numFmtId="179" fontId="0" fillId="0" borderId="0" xfId="0" applyNumberFormat="1"/>
    <xf numFmtId="0" fontId="0" fillId="0" borderId="5" xfId="0" applyBorder="1"/>
    <xf numFmtId="0" fontId="6" fillId="0" borderId="0" xfId="0" applyFont="1"/>
    <xf numFmtId="0" fontId="6" fillId="4" borderId="0" xfId="0" applyFont="1" applyFill="1"/>
    <xf numFmtId="0" fontId="7" fillId="0" borderId="0" xfId="0" applyFont="1"/>
    <xf numFmtId="0" fontId="0" fillId="0" borderId="0" xfId="0" quotePrefix="1"/>
    <xf numFmtId="9" fontId="6" fillId="0" borderId="0" xfId="0" applyNumberFormat="1" applyFont="1"/>
    <xf numFmtId="18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160020</xdr:colOff>
          <xdr:row>3</xdr:row>
          <xdr:rowOff>137160</xdr:rowOff>
        </xdr:from>
        <xdr:to>
          <xdr:col>13</xdr:col>
          <xdr:colOff>403860</xdr:colOff>
          <xdr:row>6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6</xdr:row>
          <xdr:rowOff>175260</xdr:rowOff>
        </xdr:from>
        <xdr:to>
          <xdr:col>13</xdr:col>
          <xdr:colOff>419100</xdr:colOff>
          <xdr:row>9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Font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83820</xdr:colOff>
          <xdr:row>3</xdr:row>
          <xdr:rowOff>121920</xdr:rowOff>
        </xdr:from>
        <xdr:to>
          <xdr:col>16</xdr:col>
          <xdr:colOff>327660</xdr:colOff>
          <xdr:row>6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83820</xdr:colOff>
          <xdr:row>6</xdr:row>
          <xdr:rowOff>160020</xdr:rowOff>
        </xdr:from>
        <xdr:to>
          <xdr:col>16</xdr:col>
          <xdr:colOff>327660</xdr:colOff>
          <xdr:row>9</xdr:row>
          <xdr:rowOff>45720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Font Colour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Cycle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10</xdr:row>
          <xdr:rowOff>68580</xdr:rowOff>
        </xdr:from>
        <xdr:to>
          <xdr:col>16</xdr:col>
          <xdr:colOff>312420</xdr:colOff>
          <xdr:row>12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Colour Cycle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17</xdr:row>
          <xdr:rowOff>68580</xdr:rowOff>
        </xdr:from>
        <xdr:to>
          <xdr:col>13</xdr:col>
          <xdr:colOff>236220</xdr:colOff>
          <xdr:row>19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426720</xdr:colOff>
          <xdr:row>17</xdr:row>
          <xdr:rowOff>68580</xdr:rowOff>
        </xdr:from>
        <xdr:to>
          <xdr:col>15</xdr:col>
          <xdr:colOff>556260</xdr:colOff>
          <xdr:row>19</xdr:row>
          <xdr:rowOff>144780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Bottom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20</xdr:row>
          <xdr:rowOff>68580</xdr:rowOff>
        </xdr:from>
        <xdr:to>
          <xdr:col>13</xdr:col>
          <xdr:colOff>251460</xdr:colOff>
          <xdr:row>22</xdr:row>
          <xdr:rowOff>137160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Left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426720</xdr:colOff>
          <xdr:row>20</xdr:row>
          <xdr:rowOff>68580</xdr:rowOff>
        </xdr:from>
        <xdr:to>
          <xdr:col>15</xdr:col>
          <xdr:colOff>541020</xdr:colOff>
          <xdr:row>22</xdr:row>
          <xdr:rowOff>137160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Right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23</xdr:row>
          <xdr:rowOff>68580</xdr:rowOff>
        </xdr:from>
        <xdr:to>
          <xdr:col>13</xdr:col>
          <xdr:colOff>251460</xdr:colOff>
          <xdr:row>25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Outline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220980</xdr:colOff>
          <xdr:row>34</xdr:row>
          <xdr:rowOff>160020</xdr:rowOff>
        </xdr:from>
        <xdr:to>
          <xdr:col>9</xdr:col>
          <xdr:colOff>213360</xdr:colOff>
          <xdr:row>36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Ratio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39</xdr:row>
          <xdr:rowOff>121920</xdr:rowOff>
        </xdr:from>
        <xdr:to>
          <xdr:col>2</xdr:col>
          <xdr:colOff>449580</xdr:colOff>
          <xdr:row>41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Jump to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30</xdr:row>
          <xdr:rowOff>160020</xdr:rowOff>
        </xdr:from>
        <xdr:to>
          <xdr:col>4</xdr:col>
          <xdr:colOff>7620</xdr:colOff>
          <xdr:row>34</xdr:row>
          <xdr:rowOff>30480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Currency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441960</xdr:colOff>
          <xdr:row>29</xdr:row>
          <xdr:rowOff>30480</xdr:rowOff>
        </xdr:from>
        <xdr:to>
          <xdr:col>15</xdr:col>
          <xdr:colOff>22860</xdr:colOff>
          <xdr:row>31</xdr:row>
          <xdr:rowOff>22860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30</xdr:row>
          <xdr:rowOff>106680</xdr:rowOff>
        </xdr:from>
        <xdr:to>
          <xdr:col>8</xdr:col>
          <xdr:colOff>350520</xdr:colOff>
          <xdr:row>33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Number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hyperlink" Target="mailto:efg@hotmail.com" TargetMode="Externa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hyperlink" Target="mailto:abc@gmail.com" TargetMode="Externa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hyperlink" Target="mailto:bogdan.tudose@marqueegroup.ca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9FA91-7A59-4FB0-AB15-FD6D1410AE97}">
  <sheetPr codeName="Sheet1"/>
  <dimension ref="A1:P1461"/>
  <sheetViews>
    <sheetView showGridLines="0" tabSelected="1" topLeftCell="D68" zoomScale="175" zoomScaleNormal="175" workbookViewId="0">
      <selection activeCell="J72" sqref="J72"/>
    </sheetView>
  </sheetViews>
  <sheetFormatPr defaultRowHeight="14.4" x14ac:dyDescent="0.3"/>
  <cols>
    <col min="1" max="1" width="3.44140625" customWidth="1"/>
    <col min="2" max="2" width="13.5546875" bestFit="1" customWidth="1"/>
    <col min="6" max="6" width="10.109375" bestFit="1" customWidth="1"/>
    <col min="8" max="8" width="10.5546875" bestFit="1" customWidth="1"/>
    <col min="9" max="9" width="9.88671875" bestFit="1" customWidth="1"/>
    <col min="12" max="12" width="14" bestFit="1" customWidth="1"/>
    <col min="13" max="13" width="7.6640625" customWidth="1"/>
  </cols>
  <sheetData>
    <row r="1" spans="1:16" x14ac:dyDescent="0.3">
      <c r="A1" t="s">
        <v>19</v>
      </c>
      <c r="B1" s="10" t="s">
        <v>18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3">
      <c r="B2" s="3" t="s">
        <v>16</v>
      </c>
    </row>
    <row r="3" spans="1:16" x14ac:dyDescent="0.3">
      <c r="B3" s="3" t="s">
        <v>17</v>
      </c>
    </row>
    <row r="5" spans="1:16" x14ac:dyDescent="0.3">
      <c r="B5" s="2" t="s">
        <v>0</v>
      </c>
      <c r="C5" s="1"/>
      <c r="D5" s="1"/>
      <c r="E5" s="2" t="s">
        <v>1</v>
      </c>
      <c r="F5" s="1"/>
      <c r="G5" s="2" t="s">
        <v>2</v>
      </c>
      <c r="H5" s="1"/>
      <c r="I5" s="2" t="s">
        <v>3</v>
      </c>
      <c r="J5" s="1"/>
      <c r="K5" s="1"/>
    </row>
    <row r="6" spans="1:16" x14ac:dyDescent="0.3">
      <c r="B6" s="1">
        <v>21312</v>
      </c>
      <c r="C6" s="1">
        <v>213</v>
      </c>
      <c r="D6" s="1"/>
      <c r="E6" s="1">
        <f>Sheet2!$A$1</f>
        <v>33242</v>
      </c>
      <c r="F6" s="1"/>
      <c r="G6" s="1">
        <f>SUM(B6:C6)</f>
        <v>21525</v>
      </c>
      <c r="H6" s="1"/>
      <c r="I6" s="1">
        <f>C6+50</f>
        <v>263</v>
      </c>
      <c r="J6" s="1"/>
      <c r="K6" s="1"/>
    </row>
    <row r="7" spans="1:16" x14ac:dyDescent="0.3">
      <c r="B7" s="1">
        <v>12312</v>
      </c>
      <c r="C7" s="1">
        <v>123213</v>
      </c>
      <c r="D7" s="1"/>
      <c r="E7" s="1"/>
      <c r="F7" s="1"/>
      <c r="G7" s="1"/>
      <c r="H7" s="1"/>
      <c r="I7" s="1">
        <f>C7+C9+20</f>
        <v>123554</v>
      </c>
      <c r="J7" s="1"/>
      <c r="K7" s="1"/>
    </row>
    <row r="8" spans="1:16" x14ac:dyDescent="0.3">
      <c r="B8" s="1">
        <v>321</v>
      </c>
      <c r="C8" s="1">
        <v>321312</v>
      </c>
      <c r="D8" s="1"/>
      <c r="E8" s="1"/>
      <c r="F8" s="1"/>
      <c r="G8" s="1"/>
      <c r="H8" s="1"/>
      <c r="I8" s="1"/>
      <c r="J8" s="1"/>
      <c r="K8" s="1"/>
    </row>
    <row r="9" spans="1:16" x14ac:dyDescent="0.3">
      <c r="B9" s="1">
        <v>312</v>
      </c>
      <c r="C9" s="1">
        <v>321</v>
      </c>
      <c r="D9" s="1"/>
      <c r="E9" s="1"/>
      <c r="F9" s="1"/>
      <c r="G9" s="1"/>
      <c r="H9" s="1"/>
      <c r="I9" s="1"/>
      <c r="J9" s="1"/>
      <c r="K9" s="1"/>
    </row>
    <row r="10" spans="1:16" x14ac:dyDescent="0.3">
      <c r="B10" s="1">
        <v>321312</v>
      </c>
      <c r="C10" s="1">
        <v>21321</v>
      </c>
      <c r="D10" s="1"/>
      <c r="E10" s="1"/>
      <c r="F10" s="1"/>
      <c r="G10" s="1"/>
      <c r="H10" s="1"/>
      <c r="I10" s="1"/>
      <c r="J10" s="1"/>
      <c r="K10" s="1"/>
    </row>
    <row r="11" spans="1:16" x14ac:dyDescent="0.3">
      <c r="B11" s="1">
        <v>312</v>
      </c>
      <c r="C11" s="1">
        <v>31231</v>
      </c>
      <c r="D11" s="1"/>
      <c r="E11" s="1"/>
      <c r="F11" s="1"/>
      <c r="G11" s="1"/>
      <c r="H11" s="1"/>
      <c r="I11" s="2" t="s">
        <v>15</v>
      </c>
      <c r="J11" s="1"/>
      <c r="K11" s="1"/>
    </row>
    <row r="12" spans="1:16" x14ac:dyDescent="0.3">
      <c r="B12" s="1">
        <v>312312</v>
      </c>
      <c r="C12" s="1">
        <v>321</v>
      </c>
      <c r="D12" s="1"/>
      <c r="E12" s="1"/>
      <c r="F12" s="1"/>
      <c r="G12" s="1"/>
      <c r="H12" s="1"/>
      <c r="I12" s="1" t="b" cm="1">
        <f t="array" ref="I12">hardcodeInFormula(I6)</f>
        <v>1</v>
      </c>
      <c r="J12" s="1" t="str">
        <f ca="1">_xlfn.FORMULATEXT(I12)</f>
        <v>=hardcodeInFormula(I6)</v>
      </c>
      <c r="K12" s="1"/>
      <c r="L12" s="1"/>
    </row>
    <row r="13" spans="1:16" x14ac:dyDescent="0.3">
      <c r="B13" s="1">
        <v>12312</v>
      </c>
      <c r="C13" s="1">
        <v>131</v>
      </c>
      <c r="D13" s="1"/>
      <c r="E13" s="1"/>
      <c r="F13" s="1"/>
      <c r="G13" s="1"/>
      <c r="H13" s="1"/>
      <c r="I13" s="1" t="b" cm="1">
        <f t="array" ref="I13">hardcodeInFormula(G6)</f>
        <v>0</v>
      </c>
      <c r="J13" s="1" t="str">
        <f ca="1">_xlfn.FORMULATEXT(I13)</f>
        <v>=hardcodeInFormula(G6)</v>
      </c>
      <c r="K13" s="1"/>
    </row>
    <row r="14" spans="1:16" x14ac:dyDescent="0.3">
      <c r="B14" s="1">
        <v>1</v>
      </c>
      <c r="C14" s="1"/>
      <c r="D14" s="1"/>
      <c r="E14" s="1"/>
      <c r="F14" s="1"/>
      <c r="G14" s="1"/>
      <c r="H14" s="1"/>
      <c r="I14" s="1" t="e" cm="1">
        <f t="array" aca="1" ref="I14" ca="1">hasSheetRef(E6)</f>
        <v>#NAME?</v>
      </c>
      <c r="J14" s="1" t="str">
        <f ca="1">_xlfn.FORMULATEXT(I14)</f>
        <v>=hasSheetRef(E6)</v>
      </c>
      <c r="K14" s="1"/>
    </row>
    <row r="15" spans="1:16" x14ac:dyDescent="0.3"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6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O16" s="9"/>
    </row>
    <row r="17" spans="1:16" x14ac:dyDescent="0.3">
      <c r="A17" t="s">
        <v>19</v>
      </c>
      <c r="B17" s="10" t="s">
        <v>9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</row>
    <row r="18" spans="1:16" x14ac:dyDescent="0.3">
      <c r="D18" s="3" t="s">
        <v>8</v>
      </c>
    </row>
    <row r="19" spans="1:16" x14ac:dyDescent="0.3">
      <c r="B19" t="s">
        <v>4</v>
      </c>
      <c r="D19" t="s">
        <v>10</v>
      </c>
      <c r="G19" s="4"/>
    </row>
    <row r="20" spans="1:16" x14ac:dyDescent="0.3">
      <c r="B20" t="s">
        <v>5</v>
      </c>
      <c r="D20" t="s">
        <v>11</v>
      </c>
      <c r="H20" s="5"/>
    </row>
    <row r="21" spans="1:16" x14ac:dyDescent="0.3">
      <c r="B21" t="s">
        <v>6</v>
      </c>
      <c r="D21" t="s">
        <v>12</v>
      </c>
      <c r="I21" s="6"/>
    </row>
    <row r="22" spans="1:16" x14ac:dyDescent="0.3">
      <c r="B22" t="s">
        <v>7</v>
      </c>
      <c r="D22" t="s">
        <v>13</v>
      </c>
      <c r="I22" s="7"/>
    </row>
    <row r="24" spans="1:16" x14ac:dyDescent="0.3">
      <c r="B24" t="s">
        <v>14</v>
      </c>
    </row>
    <row r="25" spans="1:16" x14ac:dyDescent="0.3">
      <c r="G25" s="4"/>
      <c r="I25" s="6"/>
    </row>
    <row r="26" spans="1:16" x14ac:dyDescent="0.3">
      <c r="E26" s="6"/>
      <c r="F26" s="4"/>
      <c r="G26" s="29"/>
      <c r="I26" s="5"/>
    </row>
    <row r="28" spans="1:16" x14ac:dyDescent="0.3">
      <c r="A28" t="s">
        <v>19</v>
      </c>
      <c r="B28" s="10" t="s">
        <v>20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</row>
    <row r="30" spans="1:16" x14ac:dyDescent="0.3">
      <c r="B30" s="3" t="s">
        <v>30</v>
      </c>
      <c r="F30" s="3" t="s">
        <v>32</v>
      </c>
      <c r="L30" s="3" t="s">
        <v>31</v>
      </c>
    </row>
    <row r="31" spans="1:16" x14ac:dyDescent="0.3">
      <c r="B31" s="18">
        <v>1000</v>
      </c>
      <c r="F31" s="28">
        <v>1000</v>
      </c>
      <c r="L31" s="20">
        <f t="shared" ref="L31:L37" ca="1" si="0">TODAY()</f>
        <v>45085</v>
      </c>
    </row>
    <row r="32" spans="1:16" x14ac:dyDescent="0.3">
      <c r="B32" s="16">
        <v>1000</v>
      </c>
      <c r="F32" s="26">
        <v>1000</v>
      </c>
      <c r="L32" s="20">
        <f t="shared" ca="1" si="0"/>
        <v>45085</v>
      </c>
    </row>
    <row r="33" spans="1:16" x14ac:dyDescent="0.3">
      <c r="B33" s="18">
        <v>1000</v>
      </c>
      <c r="F33" s="27">
        <v>1000</v>
      </c>
      <c r="L33" s="21">
        <f t="shared" ca="1" si="0"/>
        <v>45085</v>
      </c>
    </row>
    <row r="34" spans="1:16" x14ac:dyDescent="0.3">
      <c r="B34" s="19">
        <v>1000</v>
      </c>
      <c r="F34">
        <v>1000</v>
      </c>
      <c r="L34" s="22">
        <f t="shared" ca="1" si="0"/>
        <v>45085</v>
      </c>
    </row>
    <row r="35" spans="1:16" x14ac:dyDescent="0.3">
      <c r="B35" s="14">
        <v>1000</v>
      </c>
      <c r="F35" s="26"/>
      <c r="L35" s="23">
        <f t="shared" ca="1" si="0"/>
        <v>45085</v>
      </c>
    </row>
    <row r="36" spans="1:16" x14ac:dyDescent="0.3">
      <c r="B36" s="15">
        <v>1000</v>
      </c>
      <c r="F36" t="s">
        <v>21</v>
      </c>
      <c r="L36" s="24">
        <f t="shared" ca="1" si="0"/>
        <v>45085</v>
      </c>
    </row>
    <row r="37" spans="1:16" x14ac:dyDescent="0.3">
      <c r="B37" s="17">
        <v>1000</v>
      </c>
      <c r="F37">
        <v>25</v>
      </c>
      <c r="G37" s="11">
        <v>25</v>
      </c>
      <c r="L37" s="25">
        <f t="shared" ca="1" si="0"/>
        <v>45085</v>
      </c>
    </row>
    <row r="38" spans="1:16" x14ac:dyDescent="0.3">
      <c r="H38" s="13"/>
      <c r="M38" s="25"/>
    </row>
    <row r="39" spans="1:16" x14ac:dyDescent="0.3">
      <c r="A39" t="s">
        <v>19</v>
      </c>
      <c r="B39" s="10" t="s">
        <v>22</v>
      </c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</row>
    <row r="41" spans="1:16" x14ac:dyDescent="0.3">
      <c r="D41" t="s">
        <v>23</v>
      </c>
    </row>
    <row r="44" spans="1:16" x14ac:dyDescent="0.3">
      <c r="A44" t="s">
        <v>19</v>
      </c>
      <c r="B44" s="10" t="s">
        <v>15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</row>
    <row r="45" spans="1:16" x14ac:dyDescent="0.3">
      <c r="B45" s="3" t="s">
        <v>24</v>
      </c>
    </row>
    <row r="46" spans="1:16" x14ac:dyDescent="0.3">
      <c r="B46" cm="1">
        <f t="array" ref="B46">sheetCount()</f>
        <v>9</v>
      </c>
      <c r="C46" t="str">
        <f ca="1">_xlfn.FORMULATEXT(B46)</f>
        <v>=sheetCount()</v>
      </c>
    </row>
    <row r="48" spans="1:16" x14ac:dyDescent="0.3">
      <c r="B48" s="3" t="s">
        <v>25</v>
      </c>
    </row>
    <row r="49" spans="1:16" x14ac:dyDescent="0.3">
      <c r="B49">
        <v>1</v>
      </c>
      <c r="C49" t="str" cm="1">
        <f t="array" ref="C49">sheetName(B49)</f>
        <v>Examples</v>
      </c>
    </row>
    <row r="50" spans="1:16" x14ac:dyDescent="0.3">
      <c r="B50">
        <v>2</v>
      </c>
      <c r="C50" t="str" cm="1">
        <f t="array" ref="C50">sheetName(B50)</f>
        <v>Sheet2</v>
      </c>
      <c r="D50" t="str">
        <f ca="1">_xlfn.FORMULATEXT(C50)</f>
        <v>=sheetName(B50)</v>
      </c>
    </row>
    <row r="51" spans="1:16" x14ac:dyDescent="0.3">
      <c r="B51">
        <v>3</v>
      </c>
      <c r="C51" t="str" cm="1">
        <f t="array" ref="C51">sheetName(B51)</f>
        <v>Sheet3</v>
      </c>
      <c r="D51" t="str">
        <f ca="1">_xlfn.FORMULATEXT(C51)</f>
        <v>=sheetName(B51)</v>
      </c>
    </row>
    <row r="52" spans="1:16" x14ac:dyDescent="0.3">
      <c r="B52">
        <v>4</v>
      </c>
      <c r="C52" t="str" cm="1">
        <f t="array" ref="C52">sheetName(B52)</f>
        <v>Sheet4</v>
      </c>
      <c r="D52" t="str">
        <f ca="1">_xlfn.FORMULATEXT(C52)</f>
        <v>=sheetName(B52)</v>
      </c>
    </row>
    <row r="53" spans="1:16" x14ac:dyDescent="0.3">
      <c r="B53">
        <v>5</v>
      </c>
      <c r="C53" t="str" cm="1">
        <f t="array" ref="C53">sheetName(B53)</f>
        <v>Sheet5</v>
      </c>
      <c r="D53" t="str">
        <f ca="1">_xlfn.FORMULATEXT(C53)</f>
        <v>=sheetName(B53)</v>
      </c>
    </row>
    <row r="55" spans="1:16" x14ac:dyDescent="0.3">
      <c r="B55" s="3" t="s">
        <v>29</v>
      </c>
    </row>
    <row r="56" spans="1:16" x14ac:dyDescent="0.3">
      <c r="B56" s="12" t="s">
        <v>26</v>
      </c>
    </row>
    <row r="57" spans="1:16" x14ac:dyDescent="0.3">
      <c r="B57" s="12" t="s">
        <v>27</v>
      </c>
    </row>
    <row r="58" spans="1:16" x14ac:dyDescent="0.3">
      <c r="B58" s="12" t="s">
        <v>28</v>
      </c>
    </row>
    <row r="60" spans="1:16" x14ac:dyDescent="0.3">
      <c r="B60" t="str" cm="1">
        <f t="array" ref="B60">CustConcat("; ", B56:B58)</f>
        <v>bogdan.tudose@marqueegroup.ca; abc@gmail.com; efg@hotmail.com</v>
      </c>
    </row>
    <row r="61" spans="1:16" x14ac:dyDescent="0.3">
      <c r="B61" t="str">
        <f ca="1">_xlfn.FORMULATEXT(B60)</f>
        <v>=CustConcat("; ", B56:B58)</v>
      </c>
    </row>
    <row r="62" spans="1:16" x14ac:dyDescent="0.3">
      <c r="A62" t="s">
        <v>19</v>
      </c>
      <c r="B62" s="10" t="s">
        <v>37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</row>
    <row r="63" spans="1:16" x14ac:dyDescent="0.3">
      <c r="B63" s="33" t="s">
        <v>38</v>
      </c>
    </row>
    <row r="65" spans="1:16" x14ac:dyDescent="0.3">
      <c r="B65" t="s">
        <v>39</v>
      </c>
      <c r="C65" s="30">
        <v>100</v>
      </c>
      <c r="E65" t="s">
        <v>42</v>
      </c>
      <c r="F65" s="34">
        <v>0.03</v>
      </c>
      <c r="H65" t="s">
        <v>45</v>
      </c>
      <c r="I65" s="35" cm="1">
        <f t="array" ref="I65">CallOption(C65,C66,C67,F65,F66,F67)</f>
        <v>10.762394626337148</v>
      </c>
      <c r="J65" t="str">
        <f ca="1">_xlfn.FORMULATEXT(I65)</f>
        <v>=CallOption(C65,C66,C67,F65,F66,F67)</v>
      </c>
    </row>
    <row r="66" spans="1:16" x14ac:dyDescent="0.3">
      <c r="B66" t="s">
        <v>40</v>
      </c>
      <c r="C66" s="30">
        <v>100</v>
      </c>
      <c r="E66" t="s">
        <v>43</v>
      </c>
      <c r="F66" s="34">
        <v>0.25</v>
      </c>
      <c r="H66" t="s">
        <v>46</v>
      </c>
      <c r="I66" s="35" cm="1">
        <f t="array" ref="I66">putOption(C65,C66,C67,F65,F66,F67)</f>
        <v>8.8019646062711701</v>
      </c>
      <c r="J66" t="str">
        <f ca="1">_xlfn.FORMULATEXT(I66)</f>
        <v>=putOption(C65,C66,C67,F65,F66,F67)</v>
      </c>
    </row>
    <row r="67" spans="1:16" x14ac:dyDescent="0.3">
      <c r="B67" t="s">
        <v>41</v>
      </c>
      <c r="C67" s="30">
        <v>1</v>
      </c>
      <c r="E67" t="s">
        <v>44</v>
      </c>
      <c r="F67" s="34">
        <v>0.01</v>
      </c>
    </row>
    <row r="70" spans="1:16" x14ac:dyDescent="0.3">
      <c r="A70" t="s">
        <v>19</v>
      </c>
      <c r="B70" s="10" t="s">
        <v>33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</row>
    <row r="71" spans="1:16" x14ac:dyDescent="0.3">
      <c r="F71" s="32" t="s">
        <v>35</v>
      </c>
      <c r="J71" s="32" t="s">
        <v>36</v>
      </c>
    </row>
    <row r="72" spans="1:16" x14ac:dyDescent="0.3">
      <c r="F72" s="31" t="s">
        <v>34</v>
      </c>
      <c r="J72" s="31" t="s">
        <v>34</v>
      </c>
      <c r="K72" s="31" t="s">
        <v>47</v>
      </c>
    </row>
    <row r="73" spans="1:16" x14ac:dyDescent="0.3">
      <c r="B73" t="str">
        <f ca="1">_xlfn.FORMULATEXT(B74)</f>
        <v>=YFinAllFields()</v>
      </c>
      <c r="F73" t="str">
        <f ca="1">_xlfn.FORMULATEXT(F74)</f>
        <v>=YFinStockDownloadALL(F72)</v>
      </c>
    </row>
    <row r="74" spans="1:16" x14ac:dyDescent="0.3">
      <c r="B74" t="str" cm="1">
        <f t="array" ref="B74:B148">YFinAllFields()</f>
        <v>language</v>
      </c>
      <c r="F74" t="str" cm="1">
        <f t="array" ref="F74:G1461">YFinStockDownloadALL(F72)</f>
        <v>underlyingSymbol:</v>
      </c>
      <c r="G74" t="str">
        <v>AAPL</v>
      </c>
      <c r="J74" cm="1">
        <f t="array" ref="J74">YFinStockDownload(J72,K72)</f>
        <v>177.82</v>
      </c>
      <c r="K74" t="str">
        <f ca="1">_xlfn.FORMULATEXT(J74)</f>
        <v>=YFinStockDownload(J72,K72)</v>
      </c>
    </row>
    <row r="75" spans="1:16" x14ac:dyDescent="0.3">
      <c r="B75" t="str">
        <v>region</v>
      </c>
      <c r="F75" t="str">
        <v>expirationDates:</v>
      </c>
      <c r="G75">
        <v>1686268800</v>
      </c>
    </row>
    <row r="76" spans="1:16" x14ac:dyDescent="0.3">
      <c r="B76" t="str">
        <v>quoteType</v>
      </c>
      <c r="F76" t="str">
        <v>strikes:</v>
      </c>
      <c r="G76">
        <v>85</v>
      </c>
    </row>
    <row r="77" spans="1:16" x14ac:dyDescent="0.3">
      <c r="B77" t="str">
        <v>quoteSourceName</v>
      </c>
      <c r="F77" t="str">
        <v>hasMiniOptions:</v>
      </c>
      <c r="G77" t="str">
        <v>false</v>
      </c>
    </row>
    <row r="78" spans="1:16" x14ac:dyDescent="0.3">
      <c r="B78" t="str">
        <v>triggerable</v>
      </c>
      <c r="F78" t="str">
        <v>language:</v>
      </c>
      <c r="G78" t="str">
        <v>en-US</v>
      </c>
    </row>
    <row r="79" spans="1:16" x14ac:dyDescent="0.3">
      <c r="B79" t="str">
        <v>currency</v>
      </c>
      <c r="F79" t="str">
        <v>region:</v>
      </c>
      <c r="G79" t="str">
        <v>US</v>
      </c>
    </row>
    <row r="80" spans="1:16" x14ac:dyDescent="0.3">
      <c r="B80" t="str">
        <v>fiftyTwoWeekHighChange</v>
      </c>
      <c r="F80" t="str">
        <v>quoteType:</v>
      </c>
      <c r="G80" t="str">
        <v>EQUITY</v>
      </c>
    </row>
    <row r="81" spans="2:7" x14ac:dyDescent="0.3">
      <c r="B81" t="str">
        <v>fiftyTwoWeekHighChangePercent</v>
      </c>
      <c r="F81" t="str">
        <v>typeDisp:</v>
      </c>
      <c r="G81" t="str">
        <v>Equity</v>
      </c>
    </row>
    <row r="82" spans="2:7" x14ac:dyDescent="0.3">
      <c r="B82" t="str">
        <v>fiftyTwoWeekLow</v>
      </c>
      <c r="F82" t="str">
        <v>quoteSourceName:</v>
      </c>
      <c r="G82" t="str">
        <v>Nasdaq Real Time Price</v>
      </c>
    </row>
    <row r="83" spans="2:7" x14ac:dyDescent="0.3">
      <c r="B83" t="str">
        <v>fiftyTwoWeekHigh</v>
      </c>
      <c r="F83" t="str">
        <v>triggerable:</v>
      </c>
      <c r="G83" t="str">
        <v>true</v>
      </c>
    </row>
    <row r="84" spans="2:7" x14ac:dyDescent="0.3">
      <c r="B84" t="str">
        <v>dividendDate</v>
      </c>
      <c r="F84" t="str">
        <v>customPriceAlertConfidence:</v>
      </c>
      <c r="G84" t="str">
        <v>HIGH</v>
      </c>
    </row>
    <row r="85" spans="2:7" x14ac:dyDescent="0.3">
      <c r="B85" t="str">
        <v>earningsTimestamp</v>
      </c>
      <c r="F85" t="str">
        <v>currency:</v>
      </c>
      <c r="G85" t="str">
        <v>USD</v>
      </c>
    </row>
    <row r="86" spans="2:7" x14ac:dyDescent="0.3">
      <c r="B86" t="str">
        <v>earningsTimestampStart</v>
      </c>
      <c r="F86" t="str">
        <v>marketState:</v>
      </c>
      <c r="G86" t="str">
        <v>REGULAR</v>
      </c>
    </row>
    <row r="87" spans="2:7" x14ac:dyDescent="0.3">
      <c r="B87" t="str">
        <v>earningsTimestampEnd</v>
      </c>
      <c r="F87" t="str">
        <v>fiftyTwoWeekLow:</v>
      </c>
      <c r="G87">
        <v>124.17</v>
      </c>
    </row>
    <row r="88" spans="2:7" x14ac:dyDescent="0.3">
      <c r="B88" t="str">
        <v>trailingAnnualDividendRate</v>
      </c>
      <c r="F88" t="str">
        <v>fiftyTwoWeekHigh:</v>
      </c>
      <c r="G88">
        <v>184.95</v>
      </c>
    </row>
    <row r="89" spans="2:7" x14ac:dyDescent="0.3">
      <c r="B89" t="str">
        <v>trailingPE</v>
      </c>
      <c r="F89" t="str">
        <v>dividendDate:</v>
      </c>
      <c r="G89">
        <v>1684368000</v>
      </c>
    </row>
    <row r="90" spans="2:7" x14ac:dyDescent="0.3">
      <c r="B90" t="str">
        <v>trailingAnnualDividendYield</v>
      </c>
      <c r="F90" t="str">
        <v>earningsTimestamp:</v>
      </c>
      <c r="G90">
        <v>1683234000</v>
      </c>
    </row>
    <row r="91" spans="2:7" x14ac:dyDescent="0.3">
      <c r="B91" t="str">
        <v>epsTrailingTwelveMonths</v>
      </c>
      <c r="F91" t="str">
        <v>earningsTimestampStart:</v>
      </c>
      <c r="G91">
        <v>1690401600</v>
      </c>
    </row>
    <row r="92" spans="2:7" x14ac:dyDescent="0.3">
      <c r="B92" t="str">
        <v>epsForward</v>
      </c>
      <c r="F92" t="str">
        <v>earningsTimestampEnd:</v>
      </c>
      <c r="G92">
        <v>1690833600</v>
      </c>
    </row>
    <row r="93" spans="2:7" x14ac:dyDescent="0.3">
      <c r="B93" t="str">
        <v>epsCurrentYear</v>
      </c>
      <c r="F93" t="str">
        <v>trailingAnnualDividendRate:</v>
      </c>
      <c r="G93">
        <v>0.92</v>
      </c>
    </row>
    <row r="94" spans="2:7" x14ac:dyDescent="0.3">
      <c r="B94" t="str">
        <v>priceEpsCurrentYear</v>
      </c>
      <c r="F94" t="str">
        <v>trailingPE:</v>
      </c>
      <c r="G94">
        <v>30.074916999999999</v>
      </c>
    </row>
    <row r="95" spans="2:7" x14ac:dyDescent="0.3">
      <c r="B95" t="str">
        <v>sharesOutstanding</v>
      </c>
      <c r="F95" t="str">
        <v>dividendRate:</v>
      </c>
      <c r="G95">
        <v>0.96</v>
      </c>
    </row>
    <row r="96" spans="2:7" x14ac:dyDescent="0.3">
      <c r="B96" t="str">
        <v>bookValue</v>
      </c>
      <c r="F96" t="str">
        <v>trailingAnnualDividendYield:</v>
      </c>
      <c r="G96">
        <v>5.1737709999999998E-3</v>
      </c>
    </row>
    <row r="97" spans="2:7" x14ac:dyDescent="0.3">
      <c r="B97" t="str">
        <v>fiftyDayAverage</v>
      </c>
      <c r="F97" t="str">
        <v>dividendYield:</v>
      </c>
      <c r="G97">
        <v>0.53</v>
      </c>
    </row>
    <row r="98" spans="2:7" x14ac:dyDescent="0.3">
      <c r="B98" t="str">
        <v>fiftyDayAverageChange</v>
      </c>
      <c r="F98" t="str">
        <v>epsTrailingTwelveMonths:</v>
      </c>
      <c r="G98">
        <v>5.94</v>
      </c>
    </row>
    <row r="99" spans="2:7" x14ac:dyDescent="0.3">
      <c r="B99" t="str">
        <v>fiftyDayAverageChangePercent</v>
      </c>
      <c r="F99" t="str">
        <v>epsForward:</v>
      </c>
      <c r="G99">
        <v>6.56</v>
      </c>
    </row>
    <row r="100" spans="2:7" x14ac:dyDescent="0.3">
      <c r="B100" t="str">
        <v>twoHundredDayAverage</v>
      </c>
      <c r="F100" t="str">
        <v>epsCurrentYear:</v>
      </c>
      <c r="G100">
        <v>5.97</v>
      </c>
    </row>
    <row r="101" spans="2:7" x14ac:dyDescent="0.3">
      <c r="B101" t="str">
        <v>twoHundredDayAverageChange</v>
      </c>
      <c r="F101" t="str">
        <v>priceEpsCurrentYear:</v>
      </c>
      <c r="G101">
        <v>29.923787999999998</v>
      </c>
    </row>
    <row r="102" spans="2:7" x14ac:dyDescent="0.3">
      <c r="B102" t="str">
        <v>twoHundredDayAverageChangePercent</v>
      </c>
      <c r="F102" t="str">
        <v>regularMarketChangePercent:</v>
      </c>
      <c r="G102">
        <v>0.46395057000000001</v>
      </c>
    </row>
    <row r="103" spans="2:7" x14ac:dyDescent="0.3">
      <c r="B103" t="str">
        <v>marketCap</v>
      </c>
      <c r="F103" t="str">
        <v>regularMarketPrice:</v>
      </c>
      <c r="G103">
        <v>178.64500000000001</v>
      </c>
    </row>
    <row r="104" spans="2:7" x14ac:dyDescent="0.3">
      <c r="B104" t="str">
        <v>forwardPE</v>
      </c>
      <c r="F104" t="str">
        <v>exchange:</v>
      </c>
      <c r="G104" t="str">
        <v>NMS</v>
      </c>
    </row>
    <row r="105" spans="2:7" x14ac:dyDescent="0.3">
      <c r="B105" t="str">
        <v>priceToBook</v>
      </c>
      <c r="F105" t="str">
        <v>shortName:</v>
      </c>
      <c r="G105" t="str">
        <v>Apple Inc.</v>
      </c>
    </row>
    <row r="106" spans="2:7" x14ac:dyDescent="0.3">
      <c r="B106" t="str">
        <v>sourceInterval</v>
      </c>
      <c r="F106" t="str">
        <v>longName:</v>
      </c>
      <c r="G106" t="str">
        <v>Apple Inc.</v>
      </c>
    </row>
    <row r="107" spans="2:7" x14ac:dyDescent="0.3">
      <c r="B107" t="str">
        <v>exchangeDataDelayedBy</v>
      </c>
      <c r="F107" t="str">
        <v>messageBoardId:</v>
      </c>
      <c r="G107" t="str">
        <v>finmb_24937</v>
      </c>
    </row>
    <row r="108" spans="2:7" x14ac:dyDescent="0.3">
      <c r="B108" t="str">
        <v>averageAnalystRating</v>
      </c>
      <c r="F108" t="str">
        <v>exchangeTimezoneName:</v>
      </c>
      <c r="G108" t="str">
        <v>America/New_York</v>
      </c>
    </row>
    <row r="109" spans="2:7" x14ac:dyDescent="0.3">
      <c r="B109" t="str">
        <v>firstTradeDateMilliseconds</v>
      </c>
      <c r="F109" t="str">
        <v>exchangeTimezoneShortName:</v>
      </c>
      <c r="G109" t="str">
        <v>EDT</v>
      </c>
    </row>
    <row r="110" spans="2:7" x14ac:dyDescent="0.3">
      <c r="B110" t="str">
        <v>priceHint</v>
      </c>
      <c r="F110" t="str">
        <v>gmtOffSetMilliseconds:</v>
      </c>
      <c r="G110">
        <v>-14400000</v>
      </c>
    </row>
    <row r="111" spans="2:7" x14ac:dyDescent="0.3">
      <c r="B111" t="str">
        <v>postMarketChangePercent</v>
      </c>
      <c r="F111" t="str">
        <v>market:</v>
      </c>
      <c r="G111" t="str">
        <v>us_market</v>
      </c>
    </row>
    <row r="112" spans="2:7" x14ac:dyDescent="0.3">
      <c r="B112" t="str">
        <v>postMarketTime</v>
      </c>
      <c r="F112" t="str">
        <v>esgPopulated:</v>
      </c>
      <c r="G112" t="str">
        <v>false</v>
      </c>
    </row>
    <row r="113" spans="2:7" x14ac:dyDescent="0.3">
      <c r="B113" t="str">
        <v>postMarketPrice</v>
      </c>
      <c r="F113" t="str">
        <v>tradeable:</v>
      </c>
      <c r="G113" t="str">
        <v>false</v>
      </c>
    </row>
    <row r="114" spans="2:7" x14ac:dyDescent="0.3">
      <c r="B114" t="str">
        <v>postMarketChange</v>
      </c>
      <c r="F114" t="str">
        <v>cryptoTradeable:</v>
      </c>
      <c r="G114" t="str">
        <v>false</v>
      </c>
    </row>
    <row r="115" spans="2:7" x14ac:dyDescent="0.3">
      <c r="B115" t="str">
        <v>regularMarketChange</v>
      </c>
      <c r="F115" t="str">
        <v>sharesOutstanding:</v>
      </c>
      <c r="G115">
        <v>15728700416</v>
      </c>
    </row>
    <row r="116" spans="2:7" x14ac:dyDescent="0.3">
      <c r="B116" t="str">
        <v>regularMarketChangePercent</v>
      </c>
      <c r="F116" t="str">
        <v>bookValue:</v>
      </c>
      <c r="G116">
        <v>3.9529999999999998</v>
      </c>
    </row>
    <row r="117" spans="2:7" x14ac:dyDescent="0.3">
      <c r="B117" t="str">
        <v>regularMarketTime</v>
      </c>
      <c r="F117" t="str">
        <v>fiftyDayAverage:</v>
      </c>
      <c r="G117">
        <v>169.53800000000001</v>
      </c>
    </row>
    <row r="118" spans="2:7" x14ac:dyDescent="0.3">
      <c r="B118" t="str">
        <v>regularMarketPrice</v>
      </c>
      <c r="F118" t="str">
        <v>fiftyDayAverageChange:</v>
      </c>
      <c r="G118">
        <v>9.1070100000000007</v>
      </c>
    </row>
    <row r="119" spans="2:7" x14ac:dyDescent="0.3">
      <c r="B119" t="str">
        <v>regularMarketDayHigh</v>
      </c>
      <c r="F119" t="str">
        <v>fiftyDayAverageChangePercent:</v>
      </c>
      <c r="G119">
        <v>5.3716630000000001E-2</v>
      </c>
    </row>
    <row r="120" spans="2:7" x14ac:dyDescent="0.3">
      <c r="B120" t="str">
        <v>regularMarketDayRange</v>
      </c>
      <c r="F120" t="str">
        <v>twoHundredDayAverage:</v>
      </c>
      <c r="G120">
        <v>152.54669999999999</v>
      </c>
    </row>
    <row r="121" spans="2:7" x14ac:dyDescent="0.3">
      <c r="B121" t="str">
        <v>regularMarketDayLow</v>
      </c>
      <c r="F121" t="str">
        <v>twoHundredDayAverageChange:</v>
      </c>
      <c r="G121">
        <v>26.098296999999999</v>
      </c>
    </row>
    <row r="122" spans="2:7" x14ac:dyDescent="0.3">
      <c r="B122" t="str">
        <v>regularMarketVolume</v>
      </c>
      <c r="F122" t="str">
        <v>twoHundredDayAverageChangePercent:</v>
      </c>
      <c r="G122">
        <v>0.17108397</v>
      </c>
    </row>
    <row r="123" spans="2:7" x14ac:dyDescent="0.3">
      <c r="B123" t="str">
        <v>regularMarketPreviousClose</v>
      </c>
      <c r="F123" t="str">
        <v>marketCap:</v>
      </c>
      <c r="G123">
        <v>2809853640704</v>
      </c>
    </row>
    <row r="124" spans="2:7" x14ac:dyDescent="0.3">
      <c r="B124" t="str">
        <v>bid</v>
      </c>
      <c r="F124" t="str">
        <v>forwardPE:</v>
      </c>
      <c r="G124">
        <v>27.232469999999999</v>
      </c>
    </row>
    <row r="125" spans="2:7" x14ac:dyDescent="0.3">
      <c r="B125" t="str">
        <v>ask</v>
      </c>
      <c r="F125" t="str">
        <v>priceToBook:</v>
      </c>
      <c r="G125">
        <v>45.192259999999997</v>
      </c>
    </row>
    <row r="126" spans="2:7" x14ac:dyDescent="0.3">
      <c r="B126" t="str">
        <v>bidSize</v>
      </c>
      <c r="F126" t="str">
        <v>sourceInterval:</v>
      </c>
      <c r="G126">
        <v>15</v>
      </c>
    </row>
    <row r="127" spans="2:7" x14ac:dyDescent="0.3">
      <c r="B127" t="str">
        <v>askSize</v>
      </c>
      <c r="F127" t="str">
        <v>exchangeDataDelayedBy:</v>
      </c>
      <c r="G127">
        <v>0</v>
      </c>
    </row>
    <row r="128" spans="2:7" x14ac:dyDescent="0.3">
      <c r="B128" t="str">
        <v>fullExchangeName</v>
      </c>
      <c r="F128" t="str">
        <v>averageAnalystRating:</v>
      </c>
      <c r="G128" t="str">
        <v>2.0 - Buy</v>
      </c>
    </row>
    <row r="129" spans="2:7" x14ac:dyDescent="0.3">
      <c r="B129" t="str">
        <v>financialCurrency</v>
      </c>
      <c r="F129" t="str">
        <v>priceHint:</v>
      </c>
      <c r="G129">
        <v>2</v>
      </c>
    </row>
    <row r="130" spans="2:7" x14ac:dyDescent="0.3">
      <c r="B130" t="str">
        <v>regularMarketOpen</v>
      </c>
      <c r="F130" t="str">
        <v>regularMarketChange:</v>
      </c>
      <c r="G130">
        <v>0.82499694999999995</v>
      </c>
    </row>
    <row r="131" spans="2:7" x14ac:dyDescent="0.3">
      <c r="B131" t="str">
        <v>averageDailyVolume3Month</v>
      </c>
      <c r="F131" t="str">
        <v>regularMarketTime:</v>
      </c>
      <c r="G131">
        <v>1686235061</v>
      </c>
    </row>
    <row r="132" spans="2:7" x14ac:dyDescent="0.3">
      <c r="B132" t="str">
        <v>averageDailyVolume10Day</v>
      </c>
      <c r="F132" t="str">
        <v>regularMarketDayHigh:</v>
      </c>
      <c r="G132">
        <v>178.77</v>
      </c>
    </row>
    <row r="133" spans="2:7" x14ac:dyDescent="0.3">
      <c r="B133" t="str">
        <v>fiftyTwoWeekLowChange</v>
      </c>
      <c r="F133" t="str">
        <v>regularMarketDayRange:</v>
      </c>
      <c r="G133" t="str">
        <v>177.46 - 178.77</v>
      </c>
    </row>
    <row r="134" spans="2:7" x14ac:dyDescent="0.3">
      <c r="B134" t="str">
        <v>fiftyTwoWeekLowChangePercent</v>
      </c>
      <c r="F134" t="str">
        <v>regularMarketDayLow:</v>
      </c>
      <c r="G134">
        <v>177.46</v>
      </c>
    </row>
    <row r="135" spans="2:7" x14ac:dyDescent="0.3">
      <c r="B135" t="str">
        <v>fiftyTwoWeekRange</v>
      </c>
      <c r="F135" t="str">
        <v>regularMarketVolume:</v>
      </c>
      <c r="G135">
        <v>11587445</v>
      </c>
    </row>
    <row r="136" spans="2:7" x14ac:dyDescent="0.3">
      <c r="B136" t="str">
        <v>tradeable</v>
      </c>
      <c r="F136" t="str">
        <v>regularMarketPreviousClose:</v>
      </c>
      <c r="G136">
        <v>177.82</v>
      </c>
    </row>
    <row r="137" spans="2:7" x14ac:dyDescent="0.3">
      <c r="B137" t="str">
        <v>marketState</v>
      </c>
      <c r="F137" t="str">
        <v>bid:</v>
      </c>
      <c r="G137">
        <v>178.17</v>
      </c>
    </row>
    <row r="138" spans="2:7" x14ac:dyDescent="0.3">
      <c r="B138" t="str">
        <v>shortName</v>
      </c>
      <c r="F138" t="str">
        <v>ask:</v>
      </c>
      <c r="G138">
        <v>178.15</v>
      </c>
    </row>
    <row r="139" spans="2:7" x14ac:dyDescent="0.3">
      <c r="B139" t="str">
        <v>exchange</v>
      </c>
      <c r="F139" t="str">
        <v>bidSize:</v>
      </c>
      <c r="G139">
        <v>8</v>
      </c>
    </row>
    <row r="140" spans="2:7" x14ac:dyDescent="0.3">
      <c r="B140" t="str">
        <v>longName</v>
      </c>
      <c r="F140" t="str">
        <v>askSize:</v>
      </c>
      <c r="G140">
        <v>13</v>
      </c>
    </row>
    <row r="141" spans="2:7" x14ac:dyDescent="0.3">
      <c r="B141" t="str">
        <v>messageBoardId</v>
      </c>
      <c r="F141" t="str">
        <v>fullExchangeName:</v>
      </c>
      <c r="G141" t="str">
        <v>NasdaqGS</v>
      </c>
    </row>
    <row r="142" spans="2:7" x14ac:dyDescent="0.3">
      <c r="B142" t="str">
        <v>exchangeTimezoneName</v>
      </c>
      <c r="F142" t="str">
        <v>financialCurrency:</v>
      </c>
      <c r="G142" t="str">
        <v>USD</v>
      </c>
    </row>
    <row r="143" spans="2:7" x14ac:dyDescent="0.3">
      <c r="B143" t="str">
        <v>exchangeTimezoneShortName</v>
      </c>
      <c r="F143" t="str">
        <v>regularMarketOpen:</v>
      </c>
      <c r="G143">
        <v>177.89500000000001</v>
      </c>
    </row>
    <row r="144" spans="2:7" x14ac:dyDescent="0.3">
      <c r="B144" t="str">
        <v>gmtOffSetMilliseconds</v>
      </c>
      <c r="F144" t="str">
        <v>averageDailyVolume3Month:</v>
      </c>
      <c r="G144">
        <v>59924909</v>
      </c>
    </row>
    <row r="145" spans="2:7" x14ac:dyDescent="0.3">
      <c r="B145" t="str">
        <v>market</v>
      </c>
      <c r="F145" t="str">
        <v>averageDailyVolume10Day:</v>
      </c>
      <c r="G145">
        <v>69115820</v>
      </c>
    </row>
    <row r="146" spans="2:7" x14ac:dyDescent="0.3">
      <c r="B146" t="str">
        <v>esgPopulated</v>
      </c>
      <c r="F146" t="str">
        <v>fiftyTwoWeekLowChange:</v>
      </c>
      <c r="G146">
        <v>54.475006</v>
      </c>
    </row>
    <row r="147" spans="2:7" x14ac:dyDescent="0.3">
      <c r="B147" t="str">
        <v>displayName</v>
      </c>
      <c r="F147" t="str">
        <v>fiftyTwoWeekLowChangePercent:</v>
      </c>
      <c r="G147">
        <v>0.43871310000000002</v>
      </c>
    </row>
    <row r="148" spans="2:7" x14ac:dyDescent="0.3">
      <c r="B148" t="str">
        <v>symbol</v>
      </c>
      <c r="F148" t="str">
        <v>fiftyTwoWeekRange:</v>
      </c>
      <c r="G148" t="str">
        <v>124.17 - 184.95</v>
      </c>
    </row>
    <row r="149" spans="2:7" x14ac:dyDescent="0.3">
      <c r="F149" t="str">
        <v>fiftyTwoWeekHighChange:</v>
      </c>
      <c r="G149">
        <v>-6.3049926999999997</v>
      </c>
    </row>
    <row r="150" spans="2:7" x14ac:dyDescent="0.3">
      <c r="F150" t="str">
        <v>fiftyTwoWeekHighChangePercent:</v>
      </c>
      <c r="G150">
        <v>-3.4090254E-2</v>
      </c>
    </row>
    <row r="151" spans="2:7" x14ac:dyDescent="0.3">
      <c r="F151" t="str">
        <v>firstTradeDateMilliseconds:</v>
      </c>
      <c r="G151">
        <v>345479400000</v>
      </c>
    </row>
    <row r="152" spans="2:7" x14ac:dyDescent="0.3">
      <c r="F152" t="str">
        <v>displayName:</v>
      </c>
      <c r="G152" t="str">
        <v>Apple</v>
      </c>
    </row>
    <row r="153" spans="2:7" x14ac:dyDescent="0.3">
      <c r="F153" t="str">
        <v>symbol:</v>
      </c>
      <c r="G153" t="str">
        <v>AAPL</v>
      </c>
    </row>
    <row r="154" spans="2:7" x14ac:dyDescent="0.3">
      <c r="F154" t="str">
        <v>expirationDate:</v>
      </c>
      <c r="G154">
        <v>1686268800</v>
      </c>
    </row>
    <row r="155" spans="2:7" x14ac:dyDescent="0.3">
      <c r="F155" t="str">
        <v>hasMiniOptions:</v>
      </c>
      <c r="G155" t="str">
        <v>false</v>
      </c>
    </row>
    <row r="156" spans="2:7" x14ac:dyDescent="0.3">
      <c r="F156" t="str">
        <v>contractSymbol:</v>
      </c>
      <c r="G156" t="str">
        <v>AAPL230609C00085000</v>
      </c>
    </row>
    <row r="157" spans="2:7" x14ac:dyDescent="0.3">
      <c r="F157" t="str">
        <v>strike:</v>
      </c>
      <c r="G157">
        <v>85</v>
      </c>
    </row>
    <row r="158" spans="2:7" x14ac:dyDescent="0.3">
      <c r="F158" t="str">
        <v>currency:</v>
      </c>
      <c r="G158" t="str">
        <v>USD</v>
      </c>
    </row>
    <row r="159" spans="2:7" x14ac:dyDescent="0.3">
      <c r="F159" t="str">
        <v>lastPrice:</v>
      </c>
      <c r="G159">
        <v>92.9</v>
      </c>
    </row>
    <row r="160" spans="2:7" x14ac:dyDescent="0.3">
      <c r="F160" t="str">
        <v>change:</v>
      </c>
      <c r="G160">
        <v>0</v>
      </c>
    </row>
    <row r="161" spans="6:7" x14ac:dyDescent="0.3">
      <c r="F161" t="str">
        <v>percentChange:</v>
      </c>
      <c r="G161">
        <v>0</v>
      </c>
    </row>
    <row r="162" spans="6:7" x14ac:dyDescent="0.3">
      <c r="F162" t="str">
        <v>volume:</v>
      </c>
      <c r="G162">
        <v>10</v>
      </c>
    </row>
    <row r="163" spans="6:7" x14ac:dyDescent="0.3">
      <c r="F163" t="str">
        <v>openInterest:</v>
      </c>
      <c r="G163">
        <v>11</v>
      </c>
    </row>
    <row r="164" spans="6:7" x14ac:dyDescent="0.3">
      <c r="F164" t="str">
        <v>bid:</v>
      </c>
      <c r="G164">
        <v>93</v>
      </c>
    </row>
    <row r="165" spans="6:7" x14ac:dyDescent="0.3">
      <c r="F165" t="str">
        <v>ask:</v>
      </c>
      <c r="G165">
        <v>93.25</v>
      </c>
    </row>
    <row r="166" spans="6:7" x14ac:dyDescent="0.3">
      <c r="F166" t="str">
        <v>contractSize:</v>
      </c>
      <c r="G166" t="str">
        <v>REGULAR</v>
      </c>
    </row>
    <row r="167" spans="6:7" x14ac:dyDescent="0.3">
      <c r="F167" t="str">
        <v>expiration:</v>
      </c>
      <c r="G167">
        <v>1686268800</v>
      </c>
    </row>
    <row r="168" spans="6:7" x14ac:dyDescent="0.3">
      <c r="F168" t="str">
        <v>lastTradeDate:</v>
      </c>
      <c r="G168">
        <v>1686059846</v>
      </c>
    </row>
    <row r="169" spans="6:7" x14ac:dyDescent="0.3">
      <c r="F169" t="str">
        <v>impliedVolatility:</v>
      </c>
      <c r="G169">
        <v>1.0000000000000003E-5</v>
      </c>
    </row>
    <row r="170" spans="6:7" x14ac:dyDescent="0.3">
      <c r="F170" t="str">
        <v>inTheMoney:</v>
      </c>
      <c r="G170" t="str">
        <v>true</v>
      </c>
    </row>
    <row r="171" spans="6:7" x14ac:dyDescent="0.3">
      <c r="F171" t="str">
        <v>contractSymbol:</v>
      </c>
      <c r="G171" t="str">
        <v>AAPL230609C00090000</v>
      </c>
    </row>
    <row r="172" spans="6:7" x14ac:dyDescent="0.3">
      <c r="F172" t="str">
        <v>strike:</v>
      </c>
      <c r="G172">
        <v>90</v>
      </c>
    </row>
    <row r="173" spans="6:7" x14ac:dyDescent="0.3">
      <c r="F173" t="str">
        <v>currency:</v>
      </c>
      <c r="G173" t="str">
        <v>USD</v>
      </c>
    </row>
    <row r="174" spans="6:7" x14ac:dyDescent="0.3">
      <c r="F174" t="str">
        <v>lastPrice:</v>
      </c>
      <c r="G174">
        <v>89.69</v>
      </c>
    </row>
    <row r="175" spans="6:7" x14ac:dyDescent="0.3">
      <c r="F175" t="str">
        <v>change:</v>
      </c>
      <c r="G175">
        <v>0</v>
      </c>
    </row>
    <row r="176" spans="6:7" x14ac:dyDescent="0.3">
      <c r="F176" t="str">
        <v>percentChange:</v>
      </c>
      <c r="G176">
        <v>0</v>
      </c>
    </row>
    <row r="177" spans="6:7" x14ac:dyDescent="0.3">
      <c r="F177" t="str">
        <v>volume:</v>
      </c>
      <c r="G177">
        <v>1</v>
      </c>
    </row>
    <row r="178" spans="6:7" x14ac:dyDescent="0.3">
      <c r="F178" t="str">
        <v>openInterest:</v>
      </c>
      <c r="G178">
        <v>24</v>
      </c>
    </row>
    <row r="179" spans="6:7" x14ac:dyDescent="0.3">
      <c r="F179" t="str">
        <v>bid:</v>
      </c>
      <c r="G179">
        <v>88</v>
      </c>
    </row>
    <row r="180" spans="6:7" x14ac:dyDescent="0.3">
      <c r="F180" t="str">
        <v>ask:</v>
      </c>
      <c r="G180">
        <v>88.25</v>
      </c>
    </row>
    <row r="181" spans="6:7" x14ac:dyDescent="0.3">
      <c r="F181" t="str">
        <v>contractSize:</v>
      </c>
      <c r="G181" t="str">
        <v>REGULAR</v>
      </c>
    </row>
    <row r="182" spans="6:7" x14ac:dyDescent="0.3">
      <c r="F182" t="str">
        <v>expiration:</v>
      </c>
      <c r="G182">
        <v>1686268800</v>
      </c>
    </row>
    <row r="183" spans="6:7" x14ac:dyDescent="0.3">
      <c r="F183" t="str">
        <v>lastTradeDate:</v>
      </c>
      <c r="G183">
        <v>1686147563</v>
      </c>
    </row>
    <row r="184" spans="6:7" x14ac:dyDescent="0.3">
      <c r="F184" t="str">
        <v>impliedVolatility:</v>
      </c>
      <c r="G184">
        <v>1.0000000000000003E-5</v>
      </c>
    </row>
    <row r="185" spans="6:7" x14ac:dyDescent="0.3">
      <c r="F185" t="str">
        <v>inTheMoney:</v>
      </c>
      <c r="G185" t="str">
        <v>true</v>
      </c>
    </row>
    <row r="186" spans="6:7" x14ac:dyDescent="0.3">
      <c r="F186" t="str">
        <v>contractSymbol:</v>
      </c>
      <c r="G186" t="str">
        <v>AAPL230609C00100000</v>
      </c>
    </row>
    <row r="187" spans="6:7" x14ac:dyDescent="0.3">
      <c r="F187" t="str">
        <v>strike:</v>
      </c>
      <c r="G187">
        <v>100</v>
      </c>
    </row>
    <row r="188" spans="6:7" x14ac:dyDescent="0.3">
      <c r="F188" t="str">
        <v>currency:</v>
      </c>
      <c r="G188" t="str">
        <v>USD</v>
      </c>
    </row>
    <row r="189" spans="6:7" x14ac:dyDescent="0.3">
      <c r="F189" t="str">
        <v>lastPrice:</v>
      </c>
      <c r="G189">
        <v>79.5</v>
      </c>
    </row>
    <row r="190" spans="6:7" x14ac:dyDescent="0.3">
      <c r="F190" t="str">
        <v>change:</v>
      </c>
      <c r="G190">
        <v>0</v>
      </c>
    </row>
    <row r="191" spans="6:7" x14ac:dyDescent="0.3">
      <c r="F191" t="str">
        <v>percentChange:</v>
      </c>
      <c r="G191">
        <v>0</v>
      </c>
    </row>
    <row r="192" spans="6:7" x14ac:dyDescent="0.3">
      <c r="F192" t="str">
        <v>volume:</v>
      </c>
      <c r="G192">
        <v>2</v>
      </c>
    </row>
    <row r="193" spans="6:7" x14ac:dyDescent="0.3">
      <c r="F193" t="str">
        <v>openInterest:</v>
      </c>
      <c r="G193">
        <v>13</v>
      </c>
    </row>
    <row r="194" spans="6:7" x14ac:dyDescent="0.3">
      <c r="F194" t="str">
        <v>bid:</v>
      </c>
      <c r="G194">
        <v>77.95</v>
      </c>
    </row>
    <row r="195" spans="6:7" x14ac:dyDescent="0.3">
      <c r="F195" t="str">
        <v>ask:</v>
      </c>
      <c r="G195">
        <v>78.2</v>
      </c>
    </row>
    <row r="196" spans="6:7" x14ac:dyDescent="0.3">
      <c r="F196" t="str">
        <v>contractSize:</v>
      </c>
      <c r="G196" t="str">
        <v>REGULAR</v>
      </c>
    </row>
    <row r="197" spans="6:7" x14ac:dyDescent="0.3">
      <c r="F197" t="str">
        <v>expiration:</v>
      </c>
      <c r="G197">
        <v>1686268800</v>
      </c>
    </row>
    <row r="198" spans="6:7" x14ac:dyDescent="0.3">
      <c r="F198" t="str">
        <v>lastTradeDate:</v>
      </c>
      <c r="G198">
        <v>1686080300</v>
      </c>
    </row>
    <row r="199" spans="6:7" x14ac:dyDescent="0.3">
      <c r="F199" t="str">
        <v>impliedVolatility:</v>
      </c>
      <c r="G199">
        <v>1.0000000000000003E-5</v>
      </c>
    </row>
    <row r="200" spans="6:7" x14ac:dyDescent="0.3">
      <c r="F200" t="str">
        <v>inTheMoney:</v>
      </c>
      <c r="G200" t="str">
        <v>true</v>
      </c>
    </row>
    <row r="201" spans="6:7" x14ac:dyDescent="0.3">
      <c r="F201" t="str">
        <v>contractSymbol:</v>
      </c>
      <c r="G201" t="str">
        <v>AAPL230609C00105000</v>
      </c>
    </row>
    <row r="202" spans="6:7" x14ac:dyDescent="0.3">
      <c r="F202" t="str">
        <v>strike:</v>
      </c>
      <c r="G202">
        <v>105</v>
      </c>
    </row>
    <row r="203" spans="6:7" x14ac:dyDescent="0.3">
      <c r="F203" t="str">
        <v>currency:</v>
      </c>
      <c r="G203" t="str">
        <v>USD</v>
      </c>
    </row>
    <row r="204" spans="6:7" x14ac:dyDescent="0.3">
      <c r="F204" t="str">
        <v>lastPrice:</v>
      </c>
      <c r="G204">
        <v>75.5</v>
      </c>
    </row>
    <row r="205" spans="6:7" x14ac:dyDescent="0.3">
      <c r="F205" t="str">
        <v>change:</v>
      </c>
      <c r="G205">
        <v>0</v>
      </c>
    </row>
    <row r="206" spans="6:7" x14ac:dyDescent="0.3">
      <c r="F206" t="str">
        <v>percentChange:</v>
      </c>
      <c r="G206">
        <v>0</v>
      </c>
    </row>
    <row r="207" spans="6:7" x14ac:dyDescent="0.3">
      <c r="F207" t="str">
        <v>volume:</v>
      </c>
      <c r="G207">
        <v>7</v>
      </c>
    </row>
    <row r="208" spans="6:7" x14ac:dyDescent="0.3">
      <c r="F208" t="str">
        <v>openInterest:</v>
      </c>
      <c r="G208">
        <v>8</v>
      </c>
    </row>
    <row r="209" spans="6:7" x14ac:dyDescent="0.3">
      <c r="F209" t="str">
        <v>bid:</v>
      </c>
      <c r="G209">
        <v>72.849999999999994</v>
      </c>
    </row>
    <row r="210" spans="6:7" x14ac:dyDescent="0.3">
      <c r="F210" t="str">
        <v>ask:</v>
      </c>
      <c r="G210">
        <v>73.25</v>
      </c>
    </row>
    <row r="211" spans="6:7" x14ac:dyDescent="0.3">
      <c r="F211" t="str">
        <v>contractSize:</v>
      </c>
      <c r="G211" t="str">
        <v>REGULAR</v>
      </c>
    </row>
    <row r="212" spans="6:7" x14ac:dyDescent="0.3">
      <c r="F212" t="str">
        <v>expiration:</v>
      </c>
      <c r="G212">
        <v>1686268800</v>
      </c>
    </row>
    <row r="213" spans="6:7" x14ac:dyDescent="0.3">
      <c r="F213" t="str">
        <v>lastTradeDate:</v>
      </c>
      <c r="G213">
        <v>1685731192</v>
      </c>
    </row>
    <row r="214" spans="6:7" x14ac:dyDescent="0.3">
      <c r="F214" t="str">
        <v>impliedVolatility:</v>
      </c>
      <c r="G214">
        <v>1.0000000000000003E-5</v>
      </c>
    </row>
    <row r="215" spans="6:7" x14ac:dyDescent="0.3">
      <c r="F215" t="str">
        <v>inTheMoney:</v>
      </c>
      <c r="G215" t="str">
        <v>true</v>
      </c>
    </row>
    <row r="216" spans="6:7" x14ac:dyDescent="0.3">
      <c r="F216" t="str">
        <v>contractSymbol:</v>
      </c>
      <c r="G216" t="str">
        <v>AAPL230609C00110000</v>
      </c>
    </row>
    <row r="217" spans="6:7" x14ac:dyDescent="0.3">
      <c r="F217" t="str">
        <v>strike:</v>
      </c>
      <c r="G217">
        <v>110</v>
      </c>
    </row>
    <row r="218" spans="6:7" x14ac:dyDescent="0.3">
      <c r="F218" t="str">
        <v>currency:</v>
      </c>
      <c r="G218" t="str">
        <v>USD</v>
      </c>
    </row>
    <row r="219" spans="6:7" x14ac:dyDescent="0.3">
      <c r="F219" t="str">
        <v>lastPrice:</v>
      </c>
      <c r="G219">
        <v>71.010000000000005</v>
      </c>
    </row>
    <row r="220" spans="6:7" x14ac:dyDescent="0.3">
      <c r="F220" t="str">
        <v>change:</v>
      </c>
      <c r="G220">
        <v>0</v>
      </c>
    </row>
    <row r="221" spans="6:7" x14ac:dyDescent="0.3">
      <c r="F221" t="str">
        <v>percentChange:</v>
      </c>
      <c r="G221">
        <v>0</v>
      </c>
    </row>
    <row r="222" spans="6:7" x14ac:dyDescent="0.3">
      <c r="F222" t="str">
        <v>volume:</v>
      </c>
      <c r="G222">
        <v>2</v>
      </c>
    </row>
    <row r="223" spans="6:7" x14ac:dyDescent="0.3">
      <c r="F223" t="str">
        <v>openInterest:</v>
      </c>
      <c r="G223">
        <v>5</v>
      </c>
    </row>
    <row r="224" spans="6:7" x14ac:dyDescent="0.3">
      <c r="F224" t="str">
        <v>bid:</v>
      </c>
      <c r="G224">
        <v>67.95</v>
      </c>
    </row>
    <row r="225" spans="6:7" x14ac:dyDescent="0.3">
      <c r="F225" t="str">
        <v>ask:</v>
      </c>
      <c r="G225">
        <v>68.349999999999994</v>
      </c>
    </row>
    <row r="226" spans="6:7" x14ac:dyDescent="0.3">
      <c r="F226" t="str">
        <v>contractSize:</v>
      </c>
      <c r="G226" t="str">
        <v>REGULAR</v>
      </c>
    </row>
    <row r="227" spans="6:7" x14ac:dyDescent="0.3">
      <c r="F227" t="str">
        <v>expiration:</v>
      </c>
      <c r="G227">
        <v>1686268800</v>
      </c>
    </row>
    <row r="228" spans="6:7" x14ac:dyDescent="0.3">
      <c r="F228" t="str">
        <v>lastTradeDate:</v>
      </c>
      <c r="G228">
        <v>1685725038</v>
      </c>
    </row>
    <row r="229" spans="6:7" x14ac:dyDescent="0.3">
      <c r="F229" t="str">
        <v>impliedVolatility:</v>
      </c>
      <c r="G229">
        <v>1.0000000000000003E-5</v>
      </c>
    </row>
    <row r="230" spans="6:7" x14ac:dyDescent="0.3">
      <c r="F230" t="str">
        <v>inTheMoney:</v>
      </c>
      <c r="G230" t="str">
        <v>true</v>
      </c>
    </row>
    <row r="231" spans="6:7" x14ac:dyDescent="0.3">
      <c r="F231" t="str">
        <v>contractSymbol:</v>
      </c>
      <c r="G231" t="str">
        <v>AAPL230609C00115000</v>
      </c>
    </row>
    <row r="232" spans="6:7" x14ac:dyDescent="0.3">
      <c r="F232" t="str">
        <v>strike:</v>
      </c>
      <c r="G232">
        <v>115</v>
      </c>
    </row>
    <row r="233" spans="6:7" x14ac:dyDescent="0.3">
      <c r="F233" t="str">
        <v>currency:</v>
      </c>
      <c r="G233" t="str">
        <v>USD</v>
      </c>
    </row>
    <row r="234" spans="6:7" x14ac:dyDescent="0.3">
      <c r="F234" t="str">
        <v>lastPrice:</v>
      </c>
      <c r="G234">
        <v>65.489999999999995</v>
      </c>
    </row>
    <row r="235" spans="6:7" x14ac:dyDescent="0.3">
      <c r="F235" t="str">
        <v>change:</v>
      </c>
      <c r="G235">
        <v>0</v>
      </c>
    </row>
    <row r="236" spans="6:7" x14ac:dyDescent="0.3">
      <c r="F236" t="str">
        <v>percentChange:</v>
      </c>
      <c r="G236">
        <v>0</v>
      </c>
    </row>
    <row r="237" spans="6:7" x14ac:dyDescent="0.3">
      <c r="F237" t="str">
        <v>volume:</v>
      </c>
      <c r="G237">
        <v>1</v>
      </c>
    </row>
    <row r="238" spans="6:7" x14ac:dyDescent="0.3">
      <c r="F238" t="str">
        <v>openInterest:</v>
      </c>
      <c r="G238">
        <v>1</v>
      </c>
    </row>
    <row r="239" spans="6:7" x14ac:dyDescent="0.3">
      <c r="F239" t="str">
        <v>bid:</v>
      </c>
      <c r="G239">
        <v>62.9</v>
      </c>
    </row>
    <row r="240" spans="6:7" x14ac:dyDescent="0.3">
      <c r="F240" t="str">
        <v>ask:</v>
      </c>
      <c r="G240">
        <v>63.35</v>
      </c>
    </row>
    <row r="241" spans="6:7" x14ac:dyDescent="0.3">
      <c r="F241" t="str">
        <v>contractSize:</v>
      </c>
      <c r="G241" t="str">
        <v>REGULAR</v>
      </c>
    </row>
    <row r="242" spans="6:7" x14ac:dyDescent="0.3">
      <c r="F242" t="str">
        <v>expiration:</v>
      </c>
      <c r="G242">
        <v>1686268800</v>
      </c>
    </row>
    <row r="243" spans="6:7" x14ac:dyDescent="0.3">
      <c r="F243" t="str">
        <v>lastTradeDate:</v>
      </c>
      <c r="G243">
        <v>1685728330</v>
      </c>
    </row>
    <row r="244" spans="6:7" x14ac:dyDescent="0.3">
      <c r="F244" t="str">
        <v>impliedVolatility:</v>
      </c>
      <c r="G244">
        <v>1.0000000000000003E-5</v>
      </c>
    </row>
    <row r="245" spans="6:7" x14ac:dyDescent="0.3">
      <c r="F245" t="str">
        <v>inTheMoney:</v>
      </c>
      <c r="G245" t="str">
        <v>true</v>
      </c>
    </row>
    <row r="246" spans="6:7" x14ac:dyDescent="0.3">
      <c r="F246" t="str">
        <v>contractSymbol:</v>
      </c>
      <c r="G246" t="str">
        <v>AAPL230609C00125000</v>
      </c>
    </row>
    <row r="247" spans="6:7" x14ac:dyDescent="0.3">
      <c r="F247" t="str">
        <v>strike:</v>
      </c>
      <c r="G247">
        <v>125</v>
      </c>
    </row>
    <row r="248" spans="6:7" x14ac:dyDescent="0.3">
      <c r="F248" t="str">
        <v>currency:</v>
      </c>
      <c r="G248" t="str">
        <v>USD</v>
      </c>
    </row>
    <row r="249" spans="6:7" x14ac:dyDescent="0.3">
      <c r="F249" t="str">
        <v>lastPrice:</v>
      </c>
      <c r="G249">
        <v>54.45</v>
      </c>
    </row>
    <row r="250" spans="6:7" x14ac:dyDescent="0.3">
      <c r="F250" t="str">
        <v>change:</v>
      </c>
      <c r="G250">
        <v>0</v>
      </c>
    </row>
    <row r="251" spans="6:7" x14ac:dyDescent="0.3">
      <c r="F251" t="str">
        <v>percentChange:</v>
      </c>
      <c r="G251">
        <v>0</v>
      </c>
    </row>
    <row r="252" spans="6:7" x14ac:dyDescent="0.3">
      <c r="F252" t="str">
        <v>volume:</v>
      </c>
      <c r="G252">
        <v>2</v>
      </c>
    </row>
    <row r="253" spans="6:7" x14ac:dyDescent="0.3">
      <c r="F253" t="str">
        <v>openInterest:</v>
      </c>
      <c r="G253">
        <v>32</v>
      </c>
    </row>
    <row r="254" spans="6:7" x14ac:dyDescent="0.3">
      <c r="F254" t="str">
        <v>bid:</v>
      </c>
      <c r="G254">
        <v>53.05</v>
      </c>
    </row>
    <row r="255" spans="6:7" x14ac:dyDescent="0.3">
      <c r="F255" t="str">
        <v>ask:</v>
      </c>
      <c r="G255">
        <v>53.25</v>
      </c>
    </row>
    <row r="256" spans="6:7" x14ac:dyDescent="0.3">
      <c r="F256" t="str">
        <v>contractSize:</v>
      </c>
      <c r="G256" t="str">
        <v>REGULAR</v>
      </c>
    </row>
    <row r="257" spans="6:7" x14ac:dyDescent="0.3">
      <c r="F257" t="str">
        <v>expiration:</v>
      </c>
      <c r="G257">
        <v>1686268800</v>
      </c>
    </row>
    <row r="258" spans="6:7" x14ac:dyDescent="0.3">
      <c r="F258" t="str">
        <v>lastTradeDate:</v>
      </c>
      <c r="G258">
        <v>1686148470</v>
      </c>
    </row>
    <row r="259" spans="6:7" x14ac:dyDescent="0.3">
      <c r="F259" t="str">
        <v>impliedVolatility:</v>
      </c>
      <c r="G259">
        <v>1.0000000000000003E-5</v>
      </c>
    </row>
    <row r="260" spans="6:7" x14ac:dyDescent="0.3">
      <c r="F260" t="str">
        <v>inTheMoney:</v>
      </c>
      <c r="G260" t="str">
        <v>true</v>
      </c>
    </row>
    <row r="261" spans="6:7" x14ac:dyDescent="0.3">
      <c r="F261" t="str">
        <v>contractSymbol:</v>
      </c>
      <c r="G261" t="str">
        <v>AAPL230609C00130000</v>
      </c>
    </row>
    <row r="262" spans="6:7" x14ac:dyDescent="0.3">
      <c r="F262" t="str">
        <v>strike:</v>
      </c>
      <c r="G262">
        <v>130</v>
      </c>
    </row>
    <row r="263" spans="6:7" x14ac:dyDescent="0.3">
      <c r="F263" t="str">
        <v>currency:</v>
      </c>
      <c r="G263" t="str">
        <v>USD</v>
      </c>
    </row>
    <row r="264" spans="6:7" x14ac:dyDescent="0.3">
      <c r="F264" t="str">
        <v>lastPrice:</v>
      </c>
      <c r="G264">
        <v>54.32</v>
      </c>
    </row>
    <row r="265" spans="6:7" x14ac:dyDescent="0.3">
      <c r="F265" t="str">
        <v>change:</v>
      </c>
      <c r="G265">
        <v>0</v>
      </c>
    </row>
    <row r="266" spans="6:7" x14ac:dyDescent="0.3">
      <c r="F266" t="str">
        <v>percentChange:</v>
      </c>
      <c r="G266">
        <v>0</v>
      </c>
    </row>
    <row r="267" spans="6:7" x14ac:dyDescent="0.3">
      <c r="F267" t="str">
        <v>volume:</v>
      </c>
      <c r="G267">
        <v>1</v>
      </c>
    </row>
    <row r="268" spans="6:7" x14ac:dyDescent="0.3">
      <c r="F268" t="str">
        <v>openInterest:</v>
      </c>
      <c r="G268">
        <v>18</v>
      </c>
    </row>
    <row r="269" spans="6:7" x14ac:dyDescent="0.3">
      <c r="F269" t="str">
        <v>bid:</v>
      </c>
      <c r="G269">
        <v>47.85</v>
      </c>
    </row>
    <row r="270" spans="6:7" x14ac:dyDescent="0.3">
      <c r="F270" t="str">
        <v>ask:</v>
      </c>
      <c r="G270">
        <v>48.3</v>
      </c>
    </row>
    <row r="271" spans="6:7" x14ac:dyDescent="0.3">
      <c r="F271" t="str">
        <v>contractSize:</v>
      </c>
      <c r="G271" t="str">
        <v>REGULAR</v>
      </c>
    </row>
    <row r="272" spans="6:7" x14ac:dyDescent="0.3">
      <c r="F272" t="str">
        <v>expiration:</v>
      </c>
      <c r="G272">
        <v>1686268800</v>
      </c>
    </row>
    <row r="273" spans="6:7" x14ac:dyDescent="0.3">
      <c r="F273" t="str">
        <v>lastTradeDate:</v>
      </c>
      <c r="G273">
        <v>1685976457</v>
      </c>
    </row>
    <row r="274" spans="6:7" x14ac:dyDescent="0.3">
      <c r="F274" t="str">
        <v>impliedVolatility:</v>
      </c>
      <c r="G274">
        <v>1.0000000000000003E-5</v>
      </c>
    </row>
    <row r="275" spans="6:7" x14ac:dyDescent="0.3">
      <c r="F275" t="str">
        <v>inTheMoney:</v>
      </c>
      <c r="G275" t="str">
        <v>true</v>
      </c>
    </row>
    <row r="276" spans="6:7" x14ac:dyDescent="0.3">
      <c r="F276" t="str">
        <v>contractSymbol:</v>
      </c>
      <c r="G276" t="str">
        <v>AAPL230609C00135000</v>
      </c>
    </row>
    <row r="277" spans="6:7" x14ac:dyDescent="0.3">
      <c r="F277" t="str">
        <v>strike:</v>
      </c>
      <c r="G277">
        <v>135</v>
      </c>
    </row>
    <row r="278" spans="6:7" x14ac:dyDescent="0.3">
      <c r="F278" t="str">
        <v>currency:</v>
      </c>
      <c r="G278" t="str">
        <v>USD</v>
      </c>
    </row>
    <row r="279" spans="6:7" x14ac:dyDescent="0.3">
      <c r="F279" t="str">
        <v>lastPrice:</v>
      </c>
      <c r="G279">
        <v>42.67</v>
      </c>
    </row>
    <row r="280" spans="6:7" x14ac:dyDescent="0.3">
      <c r="F280" t="str">
        <v>change:</v>
      </c>
      <c r="G280">
        <v>0</v>
      </c>
    </row>
    <row r="281" spans="6:7" x14ac:dyDescent="0.3">
      <c r="F281" t="str">
        <v>percentChange:</v>
      </c>
      <c r="G281">
        <v>0</v>
      </c>
    </row>
    <row r="282" spans="6:7" x14ac:dyDescent="0.3">
      <c r="F282" t="str">
        <v>volume:</v>
      </c>
      <c r="G282">
        <v>7</v>
      </c>
    </row>
    <row r="283" spans="6:7" x14ac:dyDescent="0.3">
      <c r="F283" t="str">
        <v>openInterest:</v>
      </c>
      <c r="G283">
        <v>41</v>
      </c>
    </row>
    <row r="284" spans="6:7" x14ac:dyDescent="0.3">
      <c r="F284" t="str">
        <v>bid:</v>
      </c>
      <c r="G284">
        <v>43.05</v>
      </c>
    </row>
    <row r="285" spans="6:7" x14ac:dyDescent="0.3">
      <c r="F285" t="str">
        <v>ask:</v>
      </c>
      <c r="G285">
        <v>43.25</v>
      </c>
    </row>
    <row r="286" spans="6:7" x14ac:dyDescent="0.3">
      <c r="F286" t="str">
        <v>contractSize:</v>
      </c>
      <c r="G286" t="str">
        <v>REGULAR</v>
      </c>
    </row>
    <row r="287" spans="6:7" x14ac:dyDescent="0.3">
      <c r="F287" t="str">
        <v>expiration:</v>
      </c>
      <c r="G287">
        <v>1686268800</v>
      </c>
    </row>
    <row r="288" spans="6:7" x14ac:dyDescent="0.3">
      <c r="F288" t="str">
        <v>lastTradeDate:</v>
      </c>
      <c r="G288">
        <v>1686166868</v>
      </c>
    </row>
    <row r="289" spans="6:7" x14ac:dyDescent="0.3">
      <c r="F289" t="str">
        <v>impliedVolatility:</v>
      </c>
      <c r="G289">
        <v>1.0000000000000003E-5</v>
      </c>
    </row>
    <row r="290" spans="6:7" x14ac:dyDescent="0.3">
      <c r="F290" t="str">
        <v>inTheMoney:</v>
      </c>
      <c r="G290" t="str">
        <v>true</v>
      </c>
    </row>
    <row r="291" spans="6:7" x14ac:dyDescent="0.3">
      <c r="F291" t="str">
        <v>contractSymbol:</v>
      </c>
      <c r="G291" t="str">
        <v>AAPL230609C00140000</v>
      </c>
    </row>
    <row r="292" spans="6:7" x14ac:dyDescent="0.3">
      <c r="F292" t="str">
        <v>strike:</v>
      </c>
      <c r="G292">
        <v>140</v>
      </c>
    </row>
    <row r="293" spans="6:7" x14ac:dyDescent="0.3">
      <c r="F293" t="str">
        <v>currency:</v>
      </c>
      <c r="G293" t="str">
        <v>USD</v>
      </c>
    </row>
    <row r="294" spans="6:7" x14ac:dyDescent="0.3">
      <c r="F294" t="str">
        <v>lastPrice:</v>
      </c>
      <c r="G294">
        <v>38.1</v>
      </c>
    </row>
    <row r="295" spans="6:7" x14ac:dyDescent="0.3">
      <c r="F295" t="str">
        <v>change:</v>
      </c>
      <c r="G295">
        <v>0</v>
      </c>
    </row>
    <row r="296" spans="6:7" x14ac:dyDescent="0.3">
      <c r="F296" t="str">
        <v>percentChange:</v>
      </c>
      <c r="G296">
        <v>0</v>
      </c>
    </row>
    <row r="297" spans="6:7" x14ac:dyDescent="0.3">
      <c r="F297" t="str">
        <v>volume:</v>
      </c>
      <c r="G297">
        <v>4</v>
      </c>
    </row>
    <row r="298" spans="6:7" x14ac:dyDescent="0.3">
      <c r="F298" t="str">
        <v>openInterest:</v>
      </c>
      <c r="G298">
        <v>84</v>
      </c>
    </row>
    <row r="299" spans="6:7" x14ac:dyDescent="0.3">
      <c r="F299" t="str">
        <v>bid:</v>
      </c>
      <c r="G299">
        <v>37.9</v>
      </c>
    </row>
    <row r="300" spans="6:7" x14ac:dyDescent="0.3">
      <c r="F300" t="str">
        <v>ask:</v>
      </c>
      <c r="G300">
        <v>38.200000000000003</v>
      </c>
    </row>
    <row r="301" spans="6:7" x14ac:dyDescent="0.3">
      <c r="F301" t="str">
        <v>contractSize:</v>
      </c>
      <c r="G301" t="str">
        <v>REGULAR</v>
      </c>
    </row>
    <row r="302" spans="6:7" x14ac:dyDescent="0.3">
      <c r="F302" t="str">
        <v>expiration:</v>
      </c>
      <c r="G302">
        <v>1686268800</v>
      </c>
    </row>
    <row r="303" spans="6:7" x14ac:dyDescent="0.3">
      <c r="F303" t="str">
        <v>lastTradeDate:</v>
      </c>
      <c r="G303">
        <v>1686157117</v>
      </c>
    </row>
    <row r="304" spans="6:7" x14ac:dyDescent="0.3">
      <c r="F304" t="str">
        <v>impliedVolatility:</v>
      </c>
      <c r="G304">
        <v>1.0000000000000003E-5</v>
      </c>
    </row>
    <row r="305" spans="6:7" x14ac:dyDescent="0.3">
      <c r="F305" t="str">
        <v>inTheMoney:</v>
      </c>
      <c r="G305" t="str">
        <v>true</v>
      </c>
    </row>
    <row r="306" spans="6:7" x14ac:dyDescent="0.3">
      <c r="F306" t="str">
        <v>contractSymbol:</v>
      </c>
      <c r="G306" t="str">
        <v>AAPL230609C00145000</v>
      </c>
    </row>
    <row r="307" spans="6:7" x14ac:dyDescent="0.3">
      <c r="F307" t="str">
        <v>strike:</v>
      </c>
      <c r="G307">
        <v>145</v>
      </c>
    </row>
    <row r="308" spans="6:7" x14ac:dyDescent="0.3">
      <c r="F308" t="str">
        <v>currency:</v>
      </c>
      <c r="G308" t="str">
        <v>USD</v>
      </c>
    </row>
    <row r="309" spans="6:7" x14ac:dyDescent="0.3">
      <c r="F309" t="str">
        <v>lastPrice:</v>
      </c>
      <c r="G309">
        <v>32.630000000000003</v>
      </c>
    </row>
    <row r="310" spans="6:7" x14ac:dyDescent="0.3">
      <c r="F310" t="str">
        <v>change:</v>
      </c>
      <c r="G310">
        <v>0</v>
      </c>
    </row>
    <row r="311" spans="6:7" x14ac:dyDescent="0.3">
      <c r="F311" t="str">
        <v>percentChange:</v>
      </c>
      <c r="G311">
        <v>0</v>
      </c>
    </row>
    <row r="312" spans="6:7" x14ac:dyDescent="0.3">
      <c r="F312" t="str">
        <v>volume:</v>
      </c>
      <c r="G312">
        <v>6</v>
      </c>
    </row>
    <row r="313" spans="6:7" x14ac:dyDescent="0.3">
      <c r="F313" t="str">
        <v>openInterest:</v>
      </c>
      <c r="G313">
        <v>46</v>
      </c>
    </row>
    <row r="314" spans="6:7" x14ac:dyDescent="0.3">
      <c r="F314" t="str">
        <v>bid:</v>
      </c>
      <c r="G314">
        <v>33.049999999999997</v>
      </c>
    </row>
    <row r="315" spans="6:7" x14ac:dyDescent="0.3">
      <c r="F315" t="str">
        <v>ask:</v>
      </c>
      <c r="G315">
        <v>33.25</v>
      </c>
    </row>
    <row r="316" spans="6:7" x14ac:dyDescent="0.3">
      <c r="F316" t="str">
        <v>contractSize:</v>
      </c>
      <c r="G316" t="str">
        <v>REGULAR</v>
      </c>
    </row>
    <row r="317" spans="6:7" x14ac:dyDescent="0.3">
      <c r="F317" t="str">
        <v>expiration:</v>
      </c>
      <c r="G317">
        <v>1686268800</v>
      </c>
    </row>
    <row r="318" spans="6:7" x14ac:dyDescent="0.3">
      <c r="F318" t="str">
        <v>lastTradeDate:</v>
      </c>
      <c r="G318">
        <v>1686160340</v>
      </c>
    </row>
    <row r="319" spans="6:7" x14ac:dyDescent="0.3">
      <c r="F319" t="str">
        <v>impliedVolatility:</v>
      </c>
      <c r="G319">
        <v>1.0000000000000003E-5</v>
      </c>
    </row>
    <row r="320" spans="6:7" x14ac:dyDescent="0.3">
      <c r="F320" t="str">
        <v>inTheMoney:</v>
      </c>
      <c r="G320" t="str">
        <v>true</v>
      </c>
    </row>
    <row r="321" spans="6:7" x14ac:dyDescent="0.3">
      <c r="F321" t="str">
        <v>contractSymbol:</v>
      </c>
      <c r="G321" t="str">
        <v>AAPL230609C00147000</v>
      </c>
    </row>
    <row r="322" spans="6:7" x14ac:dyDescent="0.3">
      <c r="F322" t="str">
        <v>strike:</v>
      </c>
      <c r="G322">
        <v>147</v>
      </c>
    </row>
    <row r="323" spans="6:7" x14ac:dyDescent="0.3">
      <c r="F323" t="str">
        <v>currency:</v>
      </c>
      <c r="G323" t="str">
        <v>USD</v>
      </c>
    </row>
    <row r="324" spans="6:7" x14ac:dyDescent="0.3">
      <c r="F324" t="str">
        <v>lastPrice:</v>
      </c>
      <c r="G324">
        <v>30.68</v>
      </c>
    </row>
    <row r="325" spans="6:7" x14ac:dyDescent="0.3">
      <c r="F325" t="str">
        <v>change:</v>
      </c>
      <c r="G325">
        <v>0</v>
      </c>
    </row>
    <row r="326" spans="6:7" x14ac:dyDescent="0.3">
      <c r="F326" t="str">
        <v>percentChange:</v>
      </c>
      <c r="G326">
        <v>0</v>
      </c>
    </row>
    <row r="327" spans="6:7" x14ac:dyDescent="0.3">
      <c r="F327" t="str">
        <v>volume:</v>
      </c>
      <c r="G327">
        <v>6</v>
      </c>
    </row>
    <row r="328" spans="6:7" x14ac:dyDescent="0.3">
      <c r="F328" t="str">
        <v>openInterest:</v>
      </c>
      <c r="G328">
        <v>9</v>
      </c>
    </row>
    <row r="329" spans="6:7" x14ac:dyDescent="0.3">
      <c r="F329" t="str">
        <v>bid:</v>
      </c>
      <c r="G329">
        <v>31</v>
      </c>
    </row>
    <row r="330" spans="6:7" x14ac:dyDescent="0.3">
      <c r="F330" t="str">
        <v>ask:</v>
      </c>
      <c r="G330">
        <v>31.25</v>
      </c>
    </row>
    <row r="331" spans="6:7" x14ac:dyDescent="0.3">
      <c r="F331" t="str">
        <v>contractSize:</v>
      </c>
      <c r="G331" t="str">
        <v>REGULAR</v>
      </c>
    </row>
    <row r="332" spans="6:7" x14ac:dyDescent="0.3">
      <c r="F332" t="str">
        <v>expiration:</v>
      </c>
      <c r="G332">
        <v>1686268800</v>
      </c>
    </row>
    <row r="333" spans="6:7" x14ac:dyDescent="0.3">
      <c r="F333" t="str">
        <v>lastTradeDate:</v>
      </c>
      <c r="G333">
        <v>1686159093</v>
      </c>
    </row>
    <row r="334" spans="6:7" x14ac:dyDescent="0.3">
      <c r="F334" t="str">
        <v>impliedVolatility:</v>
      </c>
      <c r="G334">
        <v>1.0000000000000003E-5</v>
      </c>
    </row>
    <row r="335" spans="6:7" x14ac:dyDescent="0.3">
      <c r="F335" t="str">
        <v>inTheMoney:</v>
      </c>
      <c r="G335" t="str">
        <v>true</v>
      </c>
    </row>
    <row r="336" spans="6:7" x14ac:dyDescent="0.3">
      <c r="F336" t="str">
        <v>contractSymbol:</v>
      </c>
      <c r="G336" t="str">
        <v>AAPL230609C00148000</v>
      </c>
    </row>
    <row r="337" spans="6:7" x14ac:dyDescent="0.3">
      <c r="F337" t="str">
        <v>strike:</v>
      </c>
      <c r="G337">
        <v>148</v>
      </c>
    </row>
    <row r="338" spans="6:7" x14ac:dyDescent="0.3">
      <c r="F338" t="str">
        <v>currency:</v>
      </c>
      <c r="G338" t="str">
        <v>USD</v>
      </c>
    </row>
    <row r="339" spans="6:7" x14ac:dyDescent="0.3">
      <c r="F339" t="str">
        <v>lastPrice:</v>
      </c>
      <c r="G339">
        <v>32.840000000000003</v>
      </c>
    </row>
    <row r="340" spans="6:7" x14ac:dyDescent="0.3">
      <c r="F340" t="str">
        <v>change:</v>
      </c>
      <c r="G340">
        <v>0</v>
      </c>
    </row>
    <row r="341" spans="6:7" x14ac:dyDescent="0.3">
      <c r="F341" t="str">
        <v>percentChange:</v>
      </c>
      <c r="G341">
        <v>0</v>
      </c>
    </row>
    <row r="342" spans="6:7" x14ac:dyDescent="0.3">
      <c r="F342" t="str">
        <v>volume:</v>
      </c>
      <c r="G342">
        <v>2</v>
      </c>
    </row>
    <row r="343" spans="6:7" x14ac:dyDescent="0.3">
      <c r="F343" t="str">
        <v>openInterest:</v>
      </c>
      <c r="G343">
        <v>0</v>
      </c>
    </row>
    <row r="344" spans="6:7" x14ac:dyDescent="0.3">
      <c r="F344" t="str">
        <v>bid:</v>
      </c>
      <c r="G344">
        <v>29.95</v>
      </c>
    </row>
    <row r="345" spans="6:7" x14ac:dyDescent="0.3">
      <c r="F345" t="str">
        <v>ask:</v>
      </c>
      <c r="G345">
        <v>30.35</v>
      </c>
    </row>
    <row r="346" spans="6:7" x14ac:dyDescent="0.3">
      <c r="F346" t="str">
        <v>contractSize:</v>
      </c>
      <c r="G346" t="str">
        <v>REGULAR</v>
      </c>
    </row>
    <row r="347" spans="6:7" x14ac:dyDescent="0.3">
      <c r="F347" t="str">
        <v>expiration:</v>
      </c>
      <c r="G347">
        <v>1686268800</v>
      </c>
    </row>
    <row r="348" spans="6:7" x14ac:dyDescent="0.3">
      <c r="F348" t="str">
        <v>lastTradeDate:</v>
      </c>
      <c r="G348">
        <v>1685720643</v>
      </c>
    </row>
    <row r="349" spans="6:7" x14ac:dyDescent="0.3">
      <c r="F349" t="str">
        <v>impliedVolatility:</v>
      </c>
      <c r="G349">
        <v>1.0000000000000003E-5</v>
      </c>
    </row>
    <row r="350" spans="6:7" x14ac:dyDescent="0.3">
      <c r="F350" t="str">
        <v>inTheMoney:</v>
      </c>
      <c r="G350" t="str">
        <v>true</v>
      </c>
    </row>
    <row r="351" spans="6:7" x14ac:dyDescent="0.3">
      <c r="F351" t="str">
        <v>contractSymbol:</v>
      </c>
      <c r="G351" t="str">
        <v>AAPL230609C00149000</v>
      </c>
    </row>
    <row r="352" spans="6:7" x14ac:dyDescent="0.3">
      <c r="F352" t="str">
        <v>strike:</v>
      </c>
      <c r="G352">
        <v>149</v>
      </c>
    </row>
    <row r="353" spans="6:7" x14ac:dyDescent="0.3">
      <c r="F353" t="str">
        <v>currency:</v>
      </c>
      <c r="G353" t="str">
        <v>USD</v>
      </c>
    </row>
    <row r="354" spans="6:7" x14ac:dyDescent="0.3">
      <c r="F354" t="str">
        <v>lastPrice:</v>
      </c>
      <c r="G354">
        <v>30.33</v>
      </c>
    </row>
    <row r="355" spans="6:7" x14ac:dyDescent="0.3">
      <c r="F355" t="str">
        <v>change:</v>
      </c>
      <c r="G355">
        <v>0</v>
      </c>
    </row>
    <row r="356" spans="6:7" x14ac:dyDescent="0.3">
      <c r="F356" t="str">
        <v>percentChange:</v>
      </c>
      <c r="G356">
        <v>0</v>
      </c>
    </row>
    <row r="357" spans="6:7" x14ac:dyDescent="0.3">
      <c r="F357" t="str">
        <v>volume:</v>
      </c>
      <c r="G357">
        <v>17</v>
      </c>
    </row>
    <row r="358" spans="6:7" x14ac:dyDescent="0.3">
      <c r="F358" t="str">
        <v>openInterest:</v>
      </c>
      <c r="G358">
        <v>8</v>
      </c>
    </row>
    <row r="359" spans="6:7" x14ac:dyDescent="0.3">
      <c r="F359" t="str">
        <v>bid:</v>
      </c>
      <c r="G359">
        <v>28.95</v>
      </c>
    </row>
    <row r="360" spans="6:7" x14ac:dyDescent="0.3">
      <c r="F360" t="str">
        <v>ask:</v>
      </c>
      <c r="G360">
        <v>29.3</v>
      </c>
    </row>
    <row r="361" spans="6:7" x14ac:dyDescent="0.3">
      <c r="F361" t="str">
        <v>contractSize:</v>
      </c>
      <c r="G361" t="str">
        <v>REGULAR</v>
      </c>
    </row>
    <row r="362" spans="6:7" x14ac:dyDescent="0.3">
      <c r="F362" t="str">
        <v>expiration:</v>
      </c>
      <c r="G362">
        <v>1686268800</v>
      </c>
    </row>
    <row r="363" spans="6:7" x14ac:dyDescent="0.3">
      <c r="F363" t="str">
        <v>lastTradeDate:</v>
      </c>
      <c r="G363">
        <v>1686080864</v>
      </c>
    </row>
    <row r="364" spans="6:7" x14ac:dyDescent="0.3">
      <c r="F364" t="str">
        <v>impliedVolatility:</v>
      </c>
      <c r="G364">
        <v>1.0000000000000003E-5</v>
      </c>
    </row>
    <row r="365" spans="6:7" x14ac:dyDescent="0.3">
      <c r="F365" t="str">
        <v>inTheMoney:</v>
      </c>
      <c r="G365" t="str">
        <v>true</v>
      </c>
    </row>
    <row r="366" spans="6:7" x14ac:dyDescent="0.3">
      <c r="F366" t="str">
        <v>contractSymbol:</v>
      </c>
      <c r="G366" t="str">
        <v>AAPL230609C00150000</v>
      </c>
    </row>
    <row r="367" spans="6:7" x14ac:dyDescent="0.3">
      <c r="F367" t="str">
        <v>strike:</v>
      </c>
      <c r="G367">
        <v>150</v>
      </c>
    </row>
    <row r="368" spans="6:7" x14ac:dyDescent="0.3">
      <c r="F368" t="str">
        <v>currency:</v>
      </c>
      <c r="G368" t="str">
        <v>USD</v>
      </c>
    </row>
    <row r="369" spans="6:7" x14ac:dyDescent="0.3">
      <c r="F369" t="str">
        <v>lastPrice:</v>
      </c>
      <c r="G369">
        <v>28.55</v>
      </c>
    </row>
    <row r="370" spans="6:7" x14ac:dyDescent="0.3">
      <c r="F370" t="str">
        <v>change:</v>
      </c>
      <c r="G370">
        <v>0.5</v>
      </c>
    </row>
    <row r="371" spans="6:7" x14ac:dyDescent="0.3">
      <c r="F371" t="str">
        <v>percentChange:</v>
      </c>
      <c r="G371">
        <v>1.7825313</v>
      </c>
    </row>
    <row r="372" spans="6:7" x14ac:dyDescent="0.3">
      <c r="F372" t="str">
        <v>volume:</v>
      </c>
      <c r="G372">
        <v>1</v>
      </c>
    </row>
    <row r="373" spans="6:7" x14ac:dyDescent="0.3">
      <c r="F373" t="str">
        <v>openInterest:</v>
      </c>
      <c r="G373">
        <v>113</v>
      </c>
    </row>
    <row r="374" spans="6:7" x14ac:dyDescent="0.3">
      <c r="F374" t="str">
        <v>bid:</v>
      </c>
      <c r="G374">
        <v>28</v>
      </c>
    </row>
    <row r="375" spans="6:7" x14ac:dyDescent="0.3">
      <c r="F375" t="str">
        <v>ask:</v>
      </c>
      <c r="G375">
        <v>28.3</v>
      </c>
    </row>
    <row r="376" spans="6:7" x14ac:dyDescent="0.3">
      <c r="F376" t="str">
        <v>contractSize:</v>
      </c>
      <c r="G376" t="str">
        <v>REGULAR</v>
      </c>
    </row>
    <row r="377" spans="6:7" x14ac:dyDescent="0.3">
      <c r="F377" t="str">
        <v>expiration:</v>
      </c>
      <c r="G377">
        <v>1686268800</v>
      </c>
    </row>
    <row r="378" spans="6:7" x14ac:dyDescent="0.3">
      <c r="F378" t="str">
        <v>lastTradeDate:</v>
      </c>
      <c r="G378">
        <v>1686166085</v>
      </c>
    </row>
    <row r="379" spans="6:7" x14ac:dyDescent="0.3">
      <c r="F379" t="str">
        <v>impliedVolatility:</v>
      </c>
      <c r="G379">
        <v>1.0000000000000003E-5</v>
      </c>
    </row>
    <row r="380" spans="6:7" x14ac:dyDescent="0.3">
      <c r="F380" t="str">
        <v>inTheMoney:</v>
      </c>
      <c r="G380" t="str">
        <v>true</v>
      </c>
    </row>
    <row r="381" spans="6:7" x14ac:dyDescent="0.3">
      <c r="F381" t="str">
        <v>contractSymbol:</v>
      </c>
      <c r="G381" t="str">
        <v>AAPL230609C00152500</v>
      </c>
    </row>
    <row r="382" spans="6:7" x14ac:dyDescent="0.3">
      <c r="F382" t="str">
        <v>strike:</v>
      </c>
      <c r="G382">
        <v>152.5</v>
      </c>
    </row>
    <row r="383" spans="6:7" x14ac:dyDescent="0.3">
      <c r="F383" t="str">
        <v>currency:</v>
      </c>
      <c r="G383" t="str">
        <v>USD</v>
      </c>
    </row>
    <row r="384" spans="6:7" x14ac:dyDescent="0.3">
      <c r="F384" t="str">
        <v>lastPrice:</v>
      </c>
      <c r="G384">
        <v>25.88</v>
      </c>
    </row>
    <row r="385" spans="6:7" x14ac:dyDescent="0.3">
      <c r="F385" t="str">
        <v>change:</v>
      </c>
      <c r="G385">
        <v>0</v>
      </c>
    </row>
    <row r="386" spans="6:7" x14ac:dyDescent="0.3">
      <c r="F386" t="str">
        <v>percentChange:</v>
      </c>
      <c r="G386">
        <v>0</v>
      </c>
    </row>
    <row r="387" spans="6:7" x14ac:dyDescent="0.3">
      <c r="F387" t="str">
        <v>volume:</v>
      </c>
      <c r="G387">
        <v>1</v>
      </c>
    </row>
    <row r="388" spans="6:7" x14ac:dyDescent="0.3">
      <c r="F388" t="str">
        <v>openInterest:</v>
      </c>
      <c r="G388">
        <v>120</v>
      </c>
    </row>
    <row r="389" spans="6:7" x14ac:dyDescent="0.3">
      <c r="F389" t="str">
        <v>bid:</v>
      </c>
      <c r="G389">
        <v>25.4</v>
      </c>
    </row>
    <row r="390" spans="6:7" x14ac:dyDescent="0.3">
      <c r="F390" t="str">
        <v>ask:</v>
      </c>
      <c r="G390">
        <v>25.65</v>
      </c>
    </row>
    <row r="391" spans="6:7" x14ac:dyDescent="0.3">
      <c r="F391" t="str">
        <v>contractSize:</v>
      </c>
      <c r="G391" t="str">
        <v>REGULAR</v>
      </c>
    </row>
    <row r="392" spans="6:7" x14ac:dyDescent="0.3">
      <c r="F392" t="str">
        <v>expiration:</v>
      </c>
      <c r="G392">
        <v>1686268800</v>
      </c>
    </row>
    <row r="393" spans="6:7" x14ac:dyDescent="0.3">
      <c r="F393" t="str">
        <v>lastTradeDate:</v>
      </c>
      <c r="G393">
        <v>1686165904</v>
      </c>
    </row>
    <row r="394" spans="6:7" x14ac:dyDescent="0.3">
      <c r="F394" t="str">
        <v>impliedVolatility:</v>
      </c>
      <c r="G394">
        <v>1.0000000000000003E-5</v>
      </c>
    </row>
    <row r="395" spans="6:7" x14ac:dyDescent="0.3">
      <c r="F395" t="str">
        <v>inTheMoney:</v>
      </c>
      <c r="G395" t="str">
        <v>true</v>
      </c>
    </row>
    <row r="396" spans="6:7" x14ac:dyDescent="0.3">
      <c r="F396" t="str">
        <v>contractSymbol:</v>
      </c>
      <c r="G396" t="str">
        <v>AAPL230609C00155000</v>
      </c>
    </row>
    <row r="397" spans="6:7" x14ac:dyDescent="0.3">
      <c r="F397" t="str">
        <v>strike:</v>
      </c>
      <c r="G397">
        <v>155</v>
      </c>
    </row>
    <row r="398" spans="6:7" x14ac:dyDescent="0.3">
      <c r="F398" t="str">
        <v>currency:</v>
      </c>
      <c r="G398" t="str">
        <v>USD</v>
      </c>
    </row>
    <row r="399" spans="6:7" x14ac:dyDescent="0.3">
      <c r="F399" t="str">
        <v>lastPrice:</v>
      </c>
      <c r="G399">
        <v>23.22</v>
      </c>
    </row>
    <row r="400" spans="6:7" x14ac:dyDescent="0.3">
      <c r="F400" t="str">
        <v>change:</v>
      </c>
      <c r="G400">
        <v>0.64999960000000001</v>
      </c>
    </row>
    <row r="401" spans="6:7" x14ac:dyDescent="0.3">
      <c r="F401" t="str">
        <v>percentChange:</v>
      </c>
      <c r="G401">
        <v>2.8799274000000001</v>
      </c>
    </row>
    <row r="402" spans="6:7" x14ac:dyDescent="0.3">
      <c r="F402" t="str">
        <v>volume:</v>
      </c>
      <c r="G402">
        <v>85</v>
      </c>
    </row>
    <row r="403" spans="6:7" x14ac:dyDescent="0.3">
      <c r="F403" t="str">
        <v>openInterest:</v>
      </c>
      <c r="G403">
        <v>333</v>
      </c>
    </row>
    <row r="404" spans="6:7" x14ac:dyDescent="0.3">
      <c r="F404" t="str">
        <v>bid:</v>
      </c>
      <c r="G404">
        <v>23.05</v>
      </c>
    </row>
    <row r="405" spans="6:7" x14ac:dyDescent="0.3">
      <c r="F405" t="str">
        <v>ask:</v>
      </c>
      <c r="G405">
        <v>23.25</v>
      </c>
    </row>
    <row r="406" spans="6:7" x14ac:dyDescent="0.3">
      <c r="F406" t="str">
        <v>contractSize:</v>
      </c>
      <c r="G406" t="str">
        <v>REGULAR</v>
      </c>
    </row>
    <row r="407" spans="6:7" x14ac:dyDescent="0.3">
      <c r="F407" t="str">
        <v>expiration:</v>
      </c>
      <c r="G407">
        <v>1686268800</v>
      </c>
    </row>
    <row r="408" spans="6:7" x14ac:dyDescent="0.3">
      <c r="F408" t="str">
        <v>lastTradeDate:</v>
      </c>
      <c r="G408">
        <v>1686231953</v>
      </c>
    </row>
    <row r="409" spans="6:7" x14ac:dyDescent="0.3">
      <c r="F409" t="str">
        <v>impliedVolatility:</v>
      </c>
      <c r="G409">
        <v>1.0000000000000003E-5</v>
      </c>
    </row>
    <row r="410" spans="6:7" x14ac:dyDescent="0.3">
      <c r="F410" t="str">
        <v>inTheMoney:</v>
      </c>
      <c r="G410" t="str">
        <v>true</v>
      </c>
    </row>
    <row r="411" spans="6:7" x14ac:dyDescent="0.3">
      <c r="F411" t="str">
        <v>contractSymbol:</v>
      </c>
      <c r="G411" t="str">
        <v>AAPL230609C00157500</v>
      </c>
    </row>
    <row r="412" spans="6:7" x14ac:dyDescent="0.3">
      <c r="F412" t="str">
        <v>strike:</v>
      </c>
      <c r="G412">
        <v>157.5</v>
      </c>
    </row>
    <row r="413" spans="6:7" x14ac:dyDescent="0.3">
      <c r="F413" t="str">
        <v>currency:</v>
      </c>
      <c r="G413" t="str">
        <v>USD</v>
      </c>
    </row>
    <row r="414" spans="6:7" x14ac:dyDescent="0.3">
      <c r="F414" t="str">
        <v>lastPrice:</v>
      </c>
      <c r="G414">
        <v>22.8</v>
      </c>
    </row>
    <row r="415" spans="6:7" x14ac:dyDescent="0.3">
      <c r="F415" t="str">
        <v>change:</v>
      </c>
      <c r="G415">
        <v>0</v>
      </c>
    </row>
    <row r="416" spans="6:7" x14ac:dyDescent="0.3">
      <c r="F416" t="str">
        <v>percentChange:</v>
      </c>
      <c r="G416">
        <v>0</v>
      </c>
    </row>
    <row r="417" spans="6:7" x14ac:dyDescent="0.3">
      <c r="F417" t="str">
        <v>volume:</v>
      </c>
      <c r="G417">
        <v>30</v>
      </c>
    </row>
    <row r="418" spans="6:7" x14ac:dyDescent="0.3">
      <c r="F418" t="str">
        <v>openInterest:</v>
      </c>
      <c r="G418">
        <v>221</v>
      </c>
    </row>
    <row r="419" spans="6:7" x14ac:dyDescent="0.3">
      <c r="F419" t="str">
        <v>bid:</v>
      </c>
      <c r="G419">
        <v>20.6</v>
      </c>
    </row>
    <row r="420" spans="6:7" x14ac:dyDescent="0.3">
      <c r="F420" t="str">
        <v>ask:</v>
      </c>
      <c r="G420">
        <v>20.75</v>
      </c>
    </row>
    <row r="421" spans="6:7" x14ac:dyDescent="0.3">
      <c r="F421" t="str">
        <v>contractSize:</v>
      </c>
      <c r="G421" t="str">
        <v>REGULAR</v>
      </c>
    </row>
    <row r="422" spans="6:7" x14ac:dyDescent="0.3">
      <c r="F422" t="str">
        <v>expiration:</v>
      </c>
      <c r="G422">
        <v>1686268800</v>
      </c>
    </row>
    <row r="423" spans="6:7" x14ac:dyDescent="0.3">
      <c r="F423" t="str">
        <v>lastTradeDate:</v>
      </c>
      <c r="G423">
        <v>1686144808</v>
      </c>
    </row>
    <row r="424" spans="6:7" x14ac:dyDescent="0.3">
      <c r="F424" t="str">
        <v>impliedVolatility:</v>
      </c>
      <c r="G424">
        <v>1.0000000000000003E-5</v>
      </c>
    </row>
    <row r="425" spans="6:7" x14ac:dyDescent="0.3">
      <c r="F425" t="str">
        <v>inTheMoney:</v>
      </c>
      <c r="G425" t="str">
        <v>true</v>
      </c>
    </row>
    <row r="426" spans="6:7" x14ac:dyDescent="0.3">
      <c r="F426" t="str">
        <v>contractSymbol:</v>
      </c>
      <c r="G426" t="str">
        <v>AAPL230609C00160000</v>
      </c>
    </row>
    <row r="427" spans="6:7" x14ac:dyDescent="0.3">
      <c r="F427" t="str">
        <v>strike:</v>
      </c>
      <c r="G427">
        <v>160</v>
      </c>
    </row>
    <row r="428" spans="6:7" x14ac:dyDescent="0.3">
      <c r="F428" t="str">
        <v>currency:</v>
      </c>
      <c r="G428" t="str">
        <v>USD</v>
      </c>
    </row>
    <row r="429" spans="6:7" x14ac:dyDescent="0.3">
      <c r="F429" t="str">
        <v>lastPrice:</v>
      </c>
      <c r="G429">
        <v>17.899999999999999</v>
      </c>
    </row>
    <row r="430" spans="6:7" x14ac:dyDescent="0.3">
      <c r="F430" t="str">
        <v>change:</v>
      </c>
      <c r="G430">
        <v>0</v>
      </c>
    </row>
    <row r="431" spans="6:7" x14ac:dyDescent="0.3">
      <c r="F431" t="str">
        <v>percentChange:</v>
      </c>
      <c r="G431">
        <v>0</v>
      </c>
    </row>
    <row r="432" spans="6:7" x14ac:dyDescent="0.3">
      <c r="F432" t="str">
        <v>volume:</v>
      </c>
      <c r="G432">
        <v>45</v>
      </c>
    </row>
    <row r="433" spans="6:7" x14ac:dyDescent="0.3">
      <c r="F433" t="str">
        <v>openInterest:</v>
      </c>
      <c r="G433">
        <v>331</v>
      </c>
    </row>
    <row r="434" spans="6:7" x14ac:dyDescent="0.3">
      <c r="F434" t="str">
        <v>bid:</v>
      </c>
      <c r="G434">
        <v>18.05</v>
      </c>
    </row>
    <row r="435" spans="6:7" x14ac:dyDescent="0.3">
      <c r="F435" t="str">
        <v>ask:</v>
      </c>
      <c r="G435">
        <v>18.2</v>
      </c>
    </row>
    <row r="436" spans="6:7" x14ac:dyDescent="0.3">
      <c r="F436" t="str">
        <v>contractSize:</v>
      </c>
      <c r="G436" t="str">
        <v>REGULAR</v>
      </c>
    </row>
    <row r="437" spans="6:7" x14ac:dyDescent="0.3">
      <c r="F437" t="str">
        <v>expiration:</v>
      </c>
      <c r="G437">
        <v>1686268800</v>
      </c>
    </row>
    <row r="438" spans="6:7" x14ac:dyDescent="0.3">
      <c r="F438" t="str">
        <v>lastTradeDate:</v>
      </c>
      <c r="G438">
        <v>1686167820</v>
      </c>
    </row>
    <row r="439" spans="6:7" x14ac:dyDescent="0.3">
      <c r="F439" t="str">
        <v>impliedVolatility:</v>
      </c>
      <c r="G439">
        <v>1.0000000000000003E-5</v>
      </c>
    </row>
    <row r="440" spans="6:7" x14ac:dyDescent="0.3">
      <c r="F440" t="str">
        <v>inTheMoney:</v>
      </c>
      <c r="G440" t="str">
        <v>true</v>
      </c>
    </row>
    <row r="441" spans="6:7" x14ac:dyDescent="0.3">
      <c r="F441" t="str">
        <v>contractSymbol:</v>
      </c>
      <c r="G441" t="str">
        <v>AAPL230609C00162500</v>
      </c>
    </row>
    <row r="442" spans="6:7" x14ac:dyDescent="0.3">
      <c r="F442" t="str">
        <v>strike:</v>
      </c>
      <c r="G442">
        <v>162.5</v>
      </c>
    </row>
    <row r="443" spans="6:7" x14ac:dyDescent="0.3">
      <c r="F443" t="str">
        <v>currency:</v>
      </c>
      <c r="G443" t="str">
        <v>USD</v>
      </c>
    </row>
    <row r="444" spans="6:7" x14ac:dyDescent="0.3">
      <c r="F444" t="str">
        <v>lastPrice:</v>
      </c>
      <c r="G444">
        <v>15.59</v>
      </c>
    </row>
    <row r="445" spans="6:7" x14ac:dyDescent="0.3">
      <c r="F445" t="str">
        <v>change:</v>
      </c>
      <c r="G445">
        <v>9.0000150000000001E-2</v>
      </c>
    </row>
    <row r="446" spans="6:7" x14ac:dyDescent="0.3">
      <c r="F446" t="str">
        <v>percentChange:</v>
      </c>
      <c r="G446">
        <v>0.58064616000000002</v>
      </c>
    </row>
    <row r="447" spans="6:7" x14ac:dyDescent="0.3">
      <c r="F447" t="str">
        <v>volume:</v>
      </c>
      <c r="G447">
        <v>73</v>
      </c>
    </row>
    <row r="448" spans="6:7" x14ac:dyDescent="0.3">
      <c r="F448" t="str">
        <v>openInterest:</v>
      </c>
      <c r="G448">
        <v>252</v>
      </c>
    </row>
    <row r="449" spans="6:7" x14ac:dyDescent="0.3">
      <c r="F449" t="str">
        <v>bid:</v>
      </c>
      <c r="G449">
        <v>15.6</v>
      </c>
    </row>
    <row r="450" spans="6:7" x14ac:dyDescent="0.3">
      <c r="F450" t="str">
        <v>ask:</v>
      </c>
      <c r="G450">
        <v>15.75</v>
      </c>
    </row>
    <row r="451" spans="6:7" x14ac:dyDescent="0.3">
      <c r="F451" t="str">
        <v>contractSize:</v>
      </c>
      <c r="G451" t="str">
        <v>REGULAR</v>
      </c>
    </row>
    <row r="452" spans="6:7" x14ac:dyDescent="0.3">
      <c r="F452" t="str">
        <v>expiration:</v>
      </c>
      <c r="G452">
        <v>1686268800</v>
      </c>
    </row>
    <row r="453" spans="6:7" x14ac:dyDescent="0.3">
      <c r="F453" t="str">
        <v>lastTradeDate:</v>
      </c>
      <c r="G453">
        <v>1686233213</v>
      </c>
    </row>
    <row r="454" spans="6:7" x14ac:dyDescent="0.3">
      <c r="F454" t="str">
        <v>impliedVolatility:</v>
      </c>
      <c r="G454">
        <v>1.0000000000000003E-5</v>
      </c>
    </row>
    <row r="455" spans="6:7" x14ac:dyDescent="0.3">
      <c r="F455" t="str">
        <v>inTheMoney:</v>
      </c>
      <c r="G455" t="str">
        <v>true</v>
      </c>
    </row>
    <row r="456" spans="6:7" x14ac:dyDescent="0.3">
      <c r="F456" t="str">
        <v>contractSymbol:</v>
      </c>
      <c r="G456" t="str">
        <v>AAPL230609C00165000</v>
      </c>
    </row>
    <row r="457" spans="6:7" x14ac:dyDescent="0.3">
      <c r="F457" t="str">
        <v>strike:</v>
      </c>
      <c r="G457">
        <v>165</v>
      </c>
    </row>
    <row r="458" spans="6:7" x14ac:dyDescent="0.3">
      <c r="F458" t="str">
        <v>currency:</v>
      </c>
      <c r="G458" t="str">
        <v>USD</v>
      </c>
    </row>
    <row r="459" spans="6:7" x14ac:dyDescent="0.3">
      <c r="F459" t="str">
        <v>lastPrice:</v>
      </c>
      <c r="G459">
        <v>13.25</v>
      </c>
    </row>
    <row r="460" spans="6:7" x14ac:dyDescent="0.3">
      <c r="F460" t="str">
        <v>change:</v>
      </c>
      <c r="G460">
        <v>0.48999977</v>
      </c>
    </row>
    <row r="461" spans="6:7" x14ac:dyDescent="0.3">
      <c r="F461" t="str">
        <v>percentChange:</v>
      </c>
      <c r="G461">
        <v>3.8401234</v>
      </c>
    </row>
    <row r="462" spans="6:7" x14ac:dyDescent="0.3">
      <c r="F462" t="str">
        <v>volume:</v>
      </c>
      <c r="G462">
        <v>16</v>
      </c>
    </row>
    <row r="463" spans="6:7" x14ac:dyDescent="0.3">
      <c r="F463" t="str">
        <v>openInterest:</v>
      </c>
      <c r="G463">
        <v>5482</v>
      </c>
    </row>
    <row r="464" spans="6:7" x14ac:dyDescent="0.3">
      <c r="F464" t="str">
        <v>bid:</v>
      </c>
      <c r="G464">
        <v>13.05</v>
      </c>
    </row>
    <row r="465" spans="6:7" x14ac:dyDescent="0.3">
      <c r="F465" t="str">
        <v>ask:</v>
      </c>
      <c r="G465">
        <v>13.2</v>
      </c>
    </row>
    <row r="466" spans="6:7" x14ac:dyDescent="0.3">
      <c r="F466" t="str">
        <v>contractSize:</v>
      </c>
      <c r="G466" t="str">
        <v>REGULAR</v>
      </c>
    </row>
    <row r="467" spans="6:7" x14ac:dyDescent="0.3">
      <c r="F467" t="str">
        <v>expiration:</v>
      </c>
      <c r="G467">
        <v>1686268800</v>
      </c>
    </row>
    <row r="468" spans="6:7" x14ac:dyDescent="0.3">
      <c r="F468" t="str">
        <v>lastTradeDate:</v>
      </c>
      <c r="G468">
        <v>1686234056</v>
      </c>
    </row>
    <row r="469" spans="6:7" x14ac:dyDescent="0.3">
      <c r="F469" t="str">
        <v>impliedVolatility:</v>
      </c>
      <c r="G469">
        <v>1.0000000000000003E-5</v>
      </c>
    </row>
    <row r="470" spans="6:7" x14ac:dyDescent="0.3">
      <c r="F470" t="str">
        <v>inTheMoney:</v>
      </c>
      <c r="G470" t="str">
        <v>true</v>
      </c>
    </row>
    <row r="471" spans="6:7" x14ac:dyDescent="0.3">
      <c r="F471" t="str">
        <v>contractSymbol:</v>
      </c>
      <c r="G471" t="str">
        <v>AAPL230609C00167500</v>
      </c>
    </row>
    <row r="472" spans="6:7" x14ac:dyDescent="0.3">
      <c r="F472" t="str">
        <v>strike:</v>
      </c>
      <c r="G472">
        <v>167.5</v>
      </c>
    </row>
    <row r="473" spans="6:7" x14ac:dyDescent="0.3">
      <c r="F473" t="str">
        <v>currency:</v>
      </c>
      <c r="G473" t="str">
        <v>USD</v>
      </c>
    </row>
    <row r="474" spans="6:7" x14ac:dyDescent="0.3">
      <c r="F474" t="str">
        <v>lastPrice:</v>
      </c>
      <c r="G474">
        <v>10.72</v>
      </c>
    </row>
    <row r="475" spans="6:7" x14ac:dyDescent="0.3">
      <c r="F475" t="str">
        <v>change:</v>
      </c>
      <c r="G475">
        <v>0.52000046</v>
      </c>
    </row>
    <row r="476" spans="6:7" x14ac:dyDescent="0.3">
      <c r="F476" t="str">
        <v>percentChange:</v>
      </c>
      <c r="G476">
        <v>5.0980439999999998</v>
      </c>
    </row>
    <row r="477" spans="6:7" x14ac:dyDescent="0.3">
      <c r="F477" t="str">
        <v>volume:</v>
      </c>
      <c r="G477">
        <v>8</v>
      </c>
    </row>
    <row r="478" spans="6:7" x14ac:dyDescent="0.3">
      <c r="F478" t="str">
        <v>openInterest:</v>
      </c>
      <c r="G478">
        <v>650</v>
      </c>
    </row>
    <row r="479" spans="6:7" x14ac:dyDescent="0.3">
      <c r="F479" t="str">
        <v>bid:</v>
      </c>
      <c r="G479">
        <v>10.65</v>
      </c>
    </row>
    <row r="480" spans="6:7" x14ac:dyDescent="0.3">
      <c r="F480" t="str">
        <v>ask:</v>
      </c>
      <c r="G480">
        <v>10.8</v>
      </c>
    </row>
    <row r="481" spans="6:7" x14ac:dyDescent="0.3">
      <c r="F481" t="str">
        <v>contractSize:</v>
      </c>
      <c r="G481" t="str">
        <v>REGULAR</v>
      </c>
    </row>
    <row r="482" spans="6:7" x14ac:dyDescent="0.3">
      <c r="F482" t="str">
        <v>expiration:</v>
      </c>
      <c r="G482">
        <v>1686268800</v>
      </c>
    </row>
    <row r="483" spans="6:7" x14ac:dyDescent="0.3">
      <c r="F483" t="str">
        <v>lastTradeDate:</v>
      </c>
      <c r="G483">
        <v>1686231807</v>
      </c>
    </row>
    <row r="484" spans="6:7" x14ac:dyDescent="0.3">
      <c r="F484" t="str">
        <v>impliedVolatility:</v>
      </c>
      <c r="G484">
        <v>1.0000000000000003E-5</v>
      </c>
    </row>
    <row r="485" spans="6:7" x14ac:dyDescent="0.3">
      <c r="F485" t="str">
        <v>inTheMoney:</v>
      </c>
      <c r="G485" t="str">
        <v>true</v>
      </c>
    </row>
    <row r="486" spans="6:7" x14ac:dyDescent="0.3">
      <c r="F486" t="str">
        <v>contractSymbol:</v>
      </c>
      <c r="G486" t="str">
        <v>AAPL230609C00170000</v>
      </c>
    </row>
    <row r="487" spans="6:7" x14ac:dyDescent="0.3">
      <c r="F487" t="str">
        <v>strike:</v>
      </c>
      <c r="G487">
        <v>170</v>
      </c>
    </row>
    <row r="488" spans="6:7" x14ac:dyDescent="0.3">
      <c r="F488" t="str">
        <v>currency:</v>
      </c>
      <c r="G488" t="str">
        <v>USD</v>
      </c>
    </row>
    <row r="489" spans="6:7" x14ac:dyDescent="0.3">
      <c r="F489" t="str">
        <v>lastPrice:</v>
      </c>
      <c r="G489">
        <v>8.25</v>
      </c>
    </row>
    <row r="490" spans="6:7" x14ac:dyDescent="0.3">
      <c r="F490" t="str">
        <v>change:</v>
      </c>
      <c r="G490">
        <v>0.25</v>
      </c>
    </row>
    <row r="491" spans="6:7" x14ac:dyDescent="0.3">
      <c r="F491" t="str">
        <v>percentChange:</v>
      </c>
      <c r="G491">
        <v>3.125</v>
      </c>
    </row>
    <row r="492" spans="6:7" x14ac:dyDescent="0.3">
      <c r="F492" t="str">
        <v>volume:</v>
      </c>
      <c r="G492">
        <v>846</v>
      </c>
    </row>
    <row r="493" spans="6:7" x14ac:dyDescent="0.3">
      <c r="F493" t="str">
        <v>openInterest:</v>
      </c>
      <c r="G493">
        <v>7579</v>
      </c>
    </row>
    <row r="494" spans="6:7" x14ac:dyDescent="0.3">
      <c r="F494" t="str">
        <v>bid:</v>
      </c>
      <c r="G494">
        <v>8.15</v>
      </c>
    </row>
    <row r="495" spans="6:7" x14ac:dyDescent="0.3">
      <c r="F495" t="str">
        <v>ask:</v>
      </c>
      <c r="G495">
        <v>8.25</v>
      </c>
    </row>
    <row r="496" spans="6:7" x14ac:dyDescent="0.3">
      <c r="F496" t="str">
        <v>contractSize:</v>
      </c>
      <c r="G496" t="str">
        <v>REGULAR</v>
      </c>
    </row>
    <row r="497" spans="6:7" x14ac:dyDescent="0.3">
      <c r="F497" t="str">
        <v>expiration:</v>
      </c>
      <c r="G497">
        <v>1686268800</v>
      </c>
    </row>
    <row r="498" spans="6:7" x14ac:dyDescent="0.3">
      <c r="F498" t="str">
        <v>lastTradeDate:</v>
      </c>
      <c r="G498">
        <v>1686233802</v>
      </c>
    </row>
    <row r="499" spans="6:7" x14ac:dyDescent="0.3">
      <c r="F499" t="str">
        <v>impliedVolatility:</v>
      </c>
      <c r="G499">
        <v>1.0000000000000003E-5</v>
      </c>
    </row>
    <row r="500" spans="6:7" x14ac:dyDescent="0.3">
      <c r="F500" t="str">
        <v>inTheMoney:</v>
      </c>
      <c r="G500" t="str">
        <v>true</v>
      </c>
    </row>
    <row r="501" spans="6:7" x14ac:dyDescent="0.3">
      <c r="F501" t="str">
        <v>contractSymbol:</v>
      </c>
      <c r="G501" t="str">
        <v>AAPL230609C00172500</v>
      </c>
    </row>
    <row r="502" spans="6:7" x14ac:dyDescent="0.3">
      <c r="F502" t="str">
        <v>strike:</v>
      </c>
      <c r="G502">
        <v>172.5</v>
      </c>
    </row>
    <row r="503" spans="6:7" x14ac:dyDescent="0.3">
      <c r="F503" t="str">
        <v>currency:</v>
      </c>
      <c r="G503" t="str">
        <v>USD</v>
      </c>
    </row>
    <row r="504" spans="6:7" x14ac:dyDescent="0.3">
      <c r="F504" t="str">
        <v>lastPrice:</v>
      </c>
      <c r="G504">
        <v>5.57</v>
      </c>
    </row>
    <row r="505" spans="6:7" x14ac:dyDescent="0.3">
      <c r="F505" t="str">
        <v>change:</v>
      </c>
      <c r="G505">
        <v>-0.12999964</v>
      </c>
    </row>
    <row r="506" spans="6:7" x14ac:dyDescent="0.3">
      <c r="F506" t="str">
        <v>percentChange:</v>
      </c>
      <c r="G506">
        <v>-2.2806953999999999</v>
      </c>
    </row>
    <row r="507" spans="6:7" x14ac:dyDescent="0.3">
      <c r="F507" t="str">
        <v>volume:</v>
      </c>
      <c r="G507">
        <v>102</v>
      </c>
    </row>
    <row r="508" spans="6:7" x14ac:dyDescent="0.3">
      <c r="F508" t="str">
        <v>openInterest:</v>
      </c>
      <c r="G508">
        <v>3970</v>
      </c>
    </row>
    <row r="509" spans="6:7" x14ac:dyDescent="0.3">
      <c r="F509" t="str">
        <v>bid:</v>
      </c>
      <c r="G509">
        <v>5.65</v>
      </c>
    </row>
    <row r="510" spans="6:7" x14ac:dyDescent="0.3">
      <c r="F510" t="str">
        <v>ask:</v>
      </c>
      <c r="G510">
        <v>5.8</v>
      </c>
    </row>
    <row r="511" spans="6:7" x14ac:dyDescent="0.3">
      <c r="F511" t="str">
        <v>contractSize:</v>
      </c>
      <c r="G511" t="str">
        <v>REGULAR</v>
      </c>
    </row>
    <row r="512" spans="6:7" x14ac:dyDescent="0.3">
      <c r="F512" t="str">
        <v>expiration:</v>
      </c>
      <c r="G512">
        <v>1686268800</v>
      </c>
    </row>
    <row r="513" spans="6:7" x14ac:dyDescent="0.3">
      <c r="F513" t="str">
        <v>lastTradeDate:</v>
      </c>
      <c r="G513">
        <v>1686233968</v>
      </c>
    </row>
    <row r="514" spans="6:7" x14ac:dyDescent="0.3">
      <c r="F514" t="str">
        <v>impliedVolatility:</v>
      </c>
      <c r="G514">
        <v>1.0000000000000003E-5</v>
      </c>
    </row>
    <row r="515" spans="6:7" x14ac:dyDescent="0.3">
      <c r="F515" t="str">
        <v>inTheMoney:</v>
      </c>
      <c r="G515" t="str">
        <v>true</v>
      </c>
    </row>
    <row r="516" spans="6:7" x14ac:dyDescent="0.3">
      <c r="F516" t="str">
        <v>contractSymbol:</v>
      </c>
      <c r="G516" t="str">
        <v>AAPL230609C00175000</v>
      </c>
    </row>
    <row r="517" spans="6:7" x14ac:dyDescent="0.3">
      <c r="F517" t="str">
        <v>strike:</v>
      </c>
      <c r="G517">
        <v>175</v>
      </c>
    </row>
    <row r="518" spans="6:7" x14ac:dyDescent="0.3">
      <c r="F518" t="str">
        <v>currency:</v>
      </c>
      <c r="G518" t="str">
        <v>USD</v>
      </c>
    </row>
    <row r="519" spans="6:7" x14ac:dyDescent="0.3">
      <c r="F519" t="str">
        <v>lastPrice:</v>
      </c>
      <c r="G519">
        <v>3.4</v>
      </c>
    </row>
    <row r="520" spans="6:7" x14ac:dyDescent="0.3">
      <c r="F520" t="str">
        <v>change:</v>
      </c>
      <c r="G520">
        <v>0</v>
      </c>
    </row>
    <row r="521" spans="6:7" x14ac:dyDescent="0.3">
      <c r="F521" t="str">
        <v>percentChange:</v>
      </c>
      <c r="G521">
        <v>0</v>
      </c>
    </row>
    <row r="522" spans="6:7" x14ac:dyDescent="0.3">
      <c r="F522" t="str">
        <v>volume:</v>
      </c>
      <c r="G522">
        <v>964</v>
      </c>
    </row>
    <row r="523" spans="6:7" x14ac:dyDescent="0.3">
      <c r="F523" t="str">
        <v>openInterest:</v>
      </c>
      <c r="G523">
        <v>21947</v>
      </c>
    </row>
    <row r="524" spans="6:7" x14ac:dyDescent="0.3">
      <c r="F524" t="str">
        <v>bid:</v>
      </c>
      <c r="G524">
        <v>3.25</v>
      </c>
    </row>
    <row r="525" spans="6:7" x14ac:dyDescent="0.3">
      <c r="F525" t="str">
        <v>ask:</v>
      </c>
      <c r="G525">
        <v>3.4</v>
      </c>
    </row>
    <row r="526" spans="6:7" x14ac:dyDescent="0.3">
      <c r="F526" t="str">
        <v>contractSize:</v>
      </c>
      <c r="G526" t="str">
        <v>REGULAR</v>
      </c>
    </row>
    <row r="527" spans="6:7" x14ac:dyDescent="0.3">
      <c r="F527" t="str">
        <v>expiration:</v>
      </c>
      <c r="G527">
        <v>1686268800</v>
      </c>
    </row>
    <row r="528" spans="6:7" x14ac:dyDescent="0.3">
      <c r="F528" t="str">
        <v>lastTradeDate:</v>
      </c>
      <c r="G528">
        <v>1686234119</v>
      </c>
    </row>
    <row r="529" spans="6:7" x14ac:dyDescent="0.3">
      <c r="F529" t="str">
        <v>impliedVolatility:</v>
      </c>
      <c r="G529">
        <v>1.0000000000000003E-5</v>
      </c>
    </row>
    <row r="530" spans="6:7" x14ac:dyDescent="0.3">
      <c r="F530" t="str">
        <v>inTheMoney:</v>
      </c>
      <c r="G530" t="str">
        <v>true</v>
      </c>
    </row>
    <row r="531" spans="6:7" x14ac:dyDescent="0.3">
      <c r="F531" t="str">
        <v>contractSymbol:</v>
      </c>
      <c r="G531" t="str">
        <v>AAPL230609C00177500</v>
      </c>
    </row>
    <row r="532" spans="6:7" x14ac:dyDescent="0.3">
      <c r="F532" t="str">
        <v>strike:</v>
      </c>
      <c r="G532">
        <v>177.5</v>
      </c>
    </row>
    <row r="533" spans="6:7" x14ac:dyDescent="0.3">
      <c r="F533" t="str">
        <v>currency:</v>
      </c>
      <c r="G533" t="str">
        <v>USD</v>
      </c>
    </row>
    <row r="534" spans="6:7" x14ac:dyDescent="0.3">
      <c r="F534" t="str">
        <v>lastPrice:</v>
      </c>
      <c r="G534">
        <v>1.47</v>
      </c>
    </row>
    <row r="535" spans="6:7" x14ac:dyDescent="0.3">
      <c r="F535" t="str">
        <v>change:</v>
      </c>
      <c r="G535">
        <v>-3.9999960000000001E-2</v>
      </c>
    </row>
    <row r="536" spans="6:7" x14ac:dyDescent="0.3">
      <c r="F536" t="str">
        <v>percentChange:</v>
      </c>
      <c r="G536">
        <v>-2.6490041999999998</v>
      </c>
    </row>
    <row r="537" spans="6:7" x14ac:dyDescent="0.3">
      <c r="F537" t="str">
        <v>volume:</v>
      </c>
      <c r="G537">
        <v>8677</v>
      </c>
    </row>
    <row r="538" spans="6:7" x14ac:dyDescent="0.3">
      <c r="F538" t="str">
        <v>openInterest:</v>
      </c>
      <c r="G538">
        <v>19090</v>
      </c>
    </row>
    <row r="539" spans="6:7" x14ac:dyDescent="0.3">
      <c r="F539" t="str">
        <v>bid:</v>
      </c>
      <c r="G539">
        <v>1.44</v>
      </c>
    </row>
    <row r="540" spans="6:7" x14ac:dyDescent="0.3">
      <c r="F540" t="str">
        <v>ask:</v>
      </c>
      <c r="G540">
        <v>1.47</v>
      </c>
    </row>
    <row r="541" spans="6:7" x14ac:dyDescent="0.3">
      <c r="F541" t="str">
        <v>contractSize:</v>
      </c>
      <c r="G541" t="str">
        <v>REGULAR</v>
      </c>
    </row>
    <row r="542" spans="6:7" x14ac:dyDescent="0.3">
      <c r="F542" t="str">
        <v>expiration:</v>
      </c>
      <c r="G542">
        <v>1686268800</v>
      </c>
    </row>
    <row r="543" spans="6:7" x14ac:dyDescent="0.3">
      <c r="F543" t="str">
        <v>lastTradeDate:</v>
      </c>
      <c r="G543">
        <v>1686234136</v>
      </c>
    </row>
    <row r="544" spans="6:7" x14ac:dyDescent="0.3">
      <c r="F544" t="str">
        <v>impliedVolatility:</v>
      </c>
      <c r="G544">
        <v>0.14551635742187499</v>
      </c>
    </row>
    <row r="545" spans="6:7" x14ac:dyDescent="0.3">
      <c r="F545" t="str">
        <v>inTheMoney:</v>
      </c>
      <c r="G545" t="str">
        <v>true</v>
      </c>
    </row>
    <row r="546" spans="6:7" x14ac:dyDescent="0.3">
      <c r="F546" t="str">
        <v>contractSymbol:</v>
      </c>
      <c r="G546" t="str">
        <v>AAPL230609C00180000</v>
      </c>
    </row>
    <row r="547" spans="6:7" x14ac:dyDescent="0.3">
      <c r="F547" t="str">
        <v>strike:</v>
      </c>
      <c r="G547">
        <v>180</v>
      </c>
    </row>
    <row r="548" spans="6:7" x14ac:dyDescent="0.3">
      <c r="F548" t="str">
        <v>currency:</v>
      </c>
      <c r="G548" t="str">
        <v>USD</v>
      </c>
    </row>
    <row r="549" spans="6:7" x14ac:dyDescent="0.3">
      <c r="F549" t="str">
        <v>lastPrice:</v>
      </c>
      <c r="G549">
        <v>0.44</v>
      </c>
    </row>
    <row r="550" spans="6:7" x14ac:dyDescent="0.3">
      <c r="F550" t="str">
        <v>change:</v>
      </c>
      <c r="G550">
        <v>-0.13</v>
      </c>
    </row>
    <row r="551" spans="6:7" x14ac:dyDescent="0.3">
      <c r="F551" t="str">
        <v>percentChange:</v>
      </c>
      <c r="G551">
        <v>-22.807016000000001</v>
      </c>
    </row>
    <row r="552" spans="6:7" x14ac:dyDescent="0.3">
      <c r="F552" t="str">
        <v>volume:</v>
      </c>
      <c r="G552">
        <v>26701</v>
      </c>
    </row>
    <row r="553" spans="6:7" x14ac:dyDescent="0.3">
      <c r="F553" t="str">
        <v>openInterest:</v>
      </c>
      <c r="G553">
        <v>62746</v>
      </c>
    </row>
    <row r="554" spans="6:7" x14ac:dyDescent="0.3">
      <c r="F554" t="str">
        <v>bid:</v>
      </c>
      <c r="G554">
        <v>0.43</v>
      </c>
    </row>
    <row r="555" spans="6:7" x14ac:dyDescent="0.3">
      <c r="F555" t="str">
        <v>ask:</v>
      </c>
      <c r="G555">
        <v>0.44</v>
      </c>
    </row>
    <row r="556" spans="6:7" x14ac:dyDescent="0.3">
      <c r="F556" t="str">
        <v>contractSize:</v>
      </c>
      <c r="G556" t="str">
        <v>REGULAR</v>
      </c>
    </row>
    <row r="557" spans="6:7" x14ac:dyDescent="0.3">
      <c r="F557" t="str">
        <v>expiration:</v>
      </c>
      <c r="G557">
        <v>1686268800</v>
      </c>
    </row>
    <row r="558" spans="6:7" x14ac:dyDescent="0.3">
      <c r="F558" t="str">
        <v>lastTradeDate:</v>
      </c>
      <c r="G558">
        <v>1686234159</v>
      </c>
    </row>
    <row r="559" spans="6:7" x14ac:dyDescent="0.3">
      <c r="F559" t="str">
        <v>impliedVolatility:</v>
      </c>
      <c r="G559">
        <v>0.18311363769531247</v>
      </c>
    </row>
    <row r="560" spans="6:7" x14ac:dyDescent="0.3">
      <c r="F560" t="str">
        <v>inTheMoney:</v>
      </c>
      <c r="G560" t="str">
        <v>false</v>
      </c>
    </row>
    <row r="561" spans="6:7" x14ac:dyDescent="0.3">
      <c r="F561" t="str">
        <v>contractSymbol:</v>
      </c>
      <c r="G561" t="str">
        <v>AAPL230609C00182500</v>
      </c>
    </row>
    <row r="562" spans="6:7" x14ac:dyDescent="0.3">
      <c r="F562" t="str">
        <v>strike:</v>
      </c>
      <c r="G562">
        <v>182.5</v>
      </c>
    </row>
    <row r="563" spans="6:7" x14ac:dyDescent="0.3">
      <c r="F563" t="str">
        <v>currency:</v>
      </c>
      <c r="G563" t="str">
        <v>USD</v>
      </c>
    </row>
    <row r="564" spans="6:7" x14ac:dyDescent="0.3">
      <c r="F564" t="str">
        <v>lastPrice:</v>
      </c>
      <c r="G564">
        <v>0.1</v>
      </c>
    </row>
    <row r="565" spans="6:7" x14ac:dyDescent="0.3">
      <c r="F565" t="str">
        <v>change:</v>
      </c>
      <c r="G565">
        <v>-0.10999999000000001</v>
      </c>
    </row>
    <row r="566" spans="6:7" x14ac:dyDescent="0.3">
      <c r="F566" t="str">
        <v>percentChange:</v>
      </c>
      <c r="G566">
        <v>-52.380949999999999</v>
      </c>
    </row>
    <row r="567" spans="6:7" x14ac:dyDescent="0.3">
      <c r="F567" t="str">
        <v>volume:</v>
      </c>
      <c r="G567">
        <v>11217</v>
      </c>
    </row>
    <row r="568" spans="6:7" x14ac:dyDescent="0.3">
      <c r="F568" t="str">
        <v>openInterest:</v>
      </c>
      <c r="G568">
        <v>57708</v>
      </c>
    </row>
    <row r="569" spans="6:7" x14ac:dyDescent="0.3">
      <c r="F569" t="str">
        <v>bid:</v>
      </c>
      <c r="G569">
        <v>0.1</v>
      </c>
    </row>
    <row r="570" spans="6:7" x14ac:dyDescent="0.3">
      <c r="F570" t="str">
        <v>ask:</v>
      </c>
      <c r="G570">
        <v>0.11</v>
      </c>
    </row>
    <row r="571" spans="6:7" x14ac:dyDescent="0.3">
      <c r="F571" t="str">
        <v>contractSize:</v>
      </c>
      <c r="G571" t="str">
        <v>REGULAR</v>
      </c>
    </row>
    <row r="572" spans="6:7" x14ac:dyDescent="0.3">
      <c r="F572" t="str">
        <v>expiration:</v>
      </c>
      <c r="G572">
        <v>1686268800</v>
      </c>
    </row>
    <row r="573" spans="6:7" x14ac:dyDescent="0.3">
      <c r="F573" t="str">
        <v>lastTradeDate:</v>
      </c>
      <c r="G573">
        <v>1686234139</v>
      </c>
    </row>
    <row r="574" spans="6:7" x14ac:dyDescent="0.3">
      <c r="F574" t="str">
        <v>impliedVolatility:</v>
      </c>
      <c r="G574">
        <v>0.20996883789062498</v>
      </c>
    </row>
    <row r="575" spans="6:7" x14ac:dyDescent="0.3">
      <c r="F575" t="str">
        <v>inTheMoney:</v>
      </c>
      <c r="G575" t="str">
        <v>false</v>
      </c>
    </row>
    <row r="576" spans="6:7" x14ac:dyDescent="0.3">
      <c r="F576" t="str">
        <v>contractSymbol:</v>
      </c>
      <c r="G576" t="str">
        <v>AAPL230609C00185000</v>
      </c>
    </row>
    <row r="577" spans="6:7" x14ac:dyDescent="0.3">
      <c r="F577" t="str">
        <v>strike:</v>
      </c>
      <c r="G577">
        <v>185</v>
      </c>
    </row>
    <row r="578" spans="6:7" x14ac:dyDescent="0.3">
      <c r="F578" t="str">
        <v>currency:</v>
      </c>
      <c r="G578" t="str">
        <v>USD</v>
      </c>
    </row>
    <row r="579" spans="6:7" x14ac:dyDescent="0.3">
      <c r="F579" t="str">
        <v>lastPrice:</v>
      </c>
      <c r="G579">
        <v>0.04</v>
      </c>
    </row>
    <row r="580" spans="6:7" x14ac:dyDescent="0.3">
      <c r="F580" t="str">
        <v>change:</v>
      </c>
      <c r="G580">
        <v>-5.0000004000000001E-2</v>
      </c>
    </row>
    <row r="581" spans="6:7" x14ac:dyDescent="0.3">
      <c r="F581" t="str">
        <v>percentChange:</v>
      </c>
      <c r="G581">
        <v>-55.555557</v>
      </c>
    </row>
    <row r="582" spans="6:7" x14ac:dyDescent="0.3">
      <c r="F582" t="str">
        <v>volume:</v>
      </c>
      <c r="G582">
        <v>10664</v>
      </c>
    </row>
    <row r="583" spans="6:7" x14ac:dyDescent="0.3">
      <c r="F583" t="str">
        <v>openInterest:</v>
      </c>
      <c r="G583">
        <v>69273</v>
      </c>
    </row>
    <row r="584" spans="6:7" x14ac:dyDescent="0.3">
      <c r="F584" t="str">
        <v>bid:</v>
      </c>
      <c r="G584">
        <v>0.03</v>
      </c>
    </row>
    <row r="585" spans="6:7" x14ac:dyDescent="0.3">
      <c r="F585" t="str">
        <v>ask:</v>
      </c>
      <c r="G585">
        <v>0.04</v>
      </c>
    </row>
    <row r="586" spans="6:7" x14ac:dyDescent="0.3">
      <c r="F586" t="str">
        <v>contractSize:</v>
      </c>
      <c r="G586" t="str">
        <v>REGULAR</v>
      </c>
    </row>
    <row r="587" spans="6:7" x14ac:dyDescent="0.3">
      <c r="F587" t="str">
        <v>expiration:</v>
      </c>
      <c r="G587">
        <v>1686268800</v>
      </c>
    </row>
    <row r="588" spans="6:7" x14ac:dyDescent="0.3">
      <c r="F588" t="str">
        <v>lastTradeDate:</v>
      </c>
      <c r="G588">
        <v>1686234153</v>
      </c>
    </row>
    <row r="589" spans="6:7" x14ac:dyDescent="0.3">
      <c r="F589" t="str">
        <v>impliedVolatility:</v>
      </c>
      <c r="G589">
        <v>0.25196060546874999</v>
      </c>
    </row>
    <row r="590" spans="6:7" x14ac:dyDescent="0.3">
      <c r="F590" t="str">
        <v>inTheMoney:</v>
      </c>
      <c r="G590" t="str">
        <v>false</v>
      </c>
    </row>
    <row r="591" spans="6:7" x14ac:dyDescent="0.3">
      <c r="F591" t="str">
        <v>contractSymbol:</v>
      </c>
      <c r="G591" t="str">
        <v>AAPL230609C00187500</v>
      </c>
    </row>
    <row r="592" spans="6:7" x14ac:dyDescent="0.3">
      <c r="F592" t="str">
        <v>strike:</v>
      </c>
      <c r="G592">
        <v>187.5</v>
      </c>
    </row>
    <row r="593" spans="6:7" x14ac:dyDescent="0.3">
      <c r="F593" t="str">
        <v>currency:</v>
      </c>
      <c r="G593" t="str">
        <v>USD</v>
      </c>
    </row>
    <row r="594" spans="6:7" x14ac:dyDescent="0.3">
      <c r="F594" t="str">
        <v>lastPrice:</v>
      </c>
      <c r="G594">
        <v>0.02</v>
      </c>
    </row>
    <row r="595" spans="6:7" x14ac:dyDescent="0.3">
      <c r="F595" t="str">
        <v>change:</v>
      </c>
      <c r="G595">
        <v>-0.02</v>
      </c>
    </row>
    <row r="596" spans="6:7" x14ac:dyDescent="0.3">
      <c r="F596" t="str">
        <v>percentChange:</v>
      </c>
      <c r="G596">
        <v>-50</v>
      </c>
    </row>
    <row r="597" spans="6:7" x14ac:dyDescent="0.3">
      <c r="F597" t="str">
        <v>volume:</v>
      </c>
      <c r="G597">
        <v>1530</v>
      </c>
    </row>
    <row r="598" spans="6:7" x14ac:dyDescent="0.3">
      <c r="F598" t="str">
        <v>openInterest:</v>
      </c>
      <c r="G598">
        <v>26821</v>
      </c>
    </row>
    <row r="599" spans="6:7" x14ac:dyDescent="0.3">
      <c r="F599" t="str">
        <v>bid:</v>
      </c>
      <c r="G599">
        <v>0.02</v>
      </c>
    </row>
    <row r="600" spans="6:7" x14ac:dyDescent="0.3">
      <c r="F600" t="str">
        <v>ask:</v>
      </c>
      <c r="G600">
        <v>0.03</v>
      </c>
    </row>
    <row r="601" spans="6:7" x14ac:dyDescent="0.3">
      <c r="F601" t="str">
        <v>contractSize:</v>
      </c>
      <c r="G601" t="str">
        <v>REGULAR</v>
      </c>
    </row>
    <row r="602" spans="6:7" x14ac:dyDescent="0.3">
      <c r="F602" t="str">
        <v>expiration:</v>
      </c>
      <c r="G602">
        <v>1686268800</v>
      </c>
    </row>
    <row r="603" spans="6:7" x14ac:dyDescent="0.3">
      <c r="F603" t="str">
        <v>lastTradeDate:</v>
      </c>
      <c r="G603">
        <v>1686234078</v>
      </c>
    </row>
    <row r="604" spans="6:7" x14ac:dyDescent="0.3">
      <c r="F604" t="str">
        <v>impliedVolatility:</v>
      </c>
      <c r="G604">
        <v>0.31641308593749995</v>
      </c>
    </row>
    <row r="605" spans="6:7" x14ac:dyDescent="0.3">
      <c r="F605" t="str">
        <v>inTheMoney:</v>
      </c>
      <c r="G605" t="str">
        <v>false</v>
      </c>
    </row>
    <row r="606" spans="6:7" x14ac:dyDescent="0.3">
      <c r="F606" t="str">
        <v>contractSymbol:</v>
      </c>
      <c r="G606" t="str">
        <v>AAPL230609C00190000</v>
      </c>
    </row>
    <row r="607" spans="6:7" x14ac:dyDescent="0.3">
      <c r="F607" t="str">
        <v>strike:</v>
      </c>
      <c r="G607">
        <v>190</v>
      </c>
    </row>
    <row r="608" spans="6:7" x14ac:dyDescent="0.3">
      <c r="F608" t="str">
        <v>currency:</v>
      </c>
      <c r="G608" t="str">
        <v>USD</v>
      </c>
    </row>
    <row r="609" spans="6:7" x14ac:dyDescent="0.3">
      <c r="F609" t="str">
        <v>lastPrice:</v>
      </c>
      <c r="G609">
        <v>0.01</v>
      </c>
    </row>
    <row r="610" spans="6:7" x14ac:dyDescent="0.3">
      <c r="F610" t="str">
        <v>change:</v>
      </c>
      <c r="G610">
        <v>-0.01</v>
      </c>
    </row>
    <row r="611" spans="6:7" x14ac:dyDescent="0.3">
      <c r="F611" t="str">
        <v>percentChange:</v>
      </c>
      <c r="G611">
        <v>-50</v>
      </c>
    </row>
    <row r="612" spans="6:7" x14ac:dyDescent="0.3">
      <c r="F612" t="str">
        <v>volume:</v>
      </c>
      <c r="G612">
        <v>2499</v>
      </c>
    </row>
    <row r="613" spans="6:7" x14ac:dyDescent="0.3">
      <c r="F613" t="str">
        <v>openInterest:</v>
      </c>
      <c r="G613">
        <v>60773</v>
      </c>
    </row>
    <row r="614" spans="6:7" x14ac:dyDescent="0.3">
      <c r="F614" t="str">
        <v>bid:</v>
      </c>
      <c r="G614">
        <v>0.01</v>
      </c>
    </row>
    <row r="615" spans="6:7" x14ac:dyDescent="0.3">
      <c r="F615" t="str">
        <v>ask:</v>
      </c>
      <c r="G615">
        <v>0.02</v>
      </c>
    </row>
    <row r="616" spans="6:7" x14ac:dyDescent="0.3">
      <c r="F616" t="str">
        <v>contractSize:</v>
      </c>
      <c r="G616" t="str">
        <v>REGULAR</v>
      </c>
    </row>
    <row r="617" spans="6:7" x14ac:dyDescent="0.3">
      <c r="F617" t="str">
        <v>expiration:</v>
      </c>
      <c r="G617">
        <v>1686268800</v>
      </c>
    </row>
    <row r="618" spans="6:7" x14ac:dyDescent="0.3">
      <c r="F618" t="str">
        <v>lastTradeDate:</v>
      </c>
      <c r="G618">
        <v>1686234121</v>
      </c>
    </row>
    <row r="619" spans="6:7" x14ac:dyDescent="0.3">
      <c r="F619" t="str">
        <v>impliedVolatility:</v>
      </c>
      <c r="G619">
        <v>0.36719382812500001</v>
      </c>
    </row>
    <row r="620" spans="6:7" x14ac:dyDescent="0.3">
      <c r="F620" t="str">
        <v>inTheMoney:</v>
      </c>
      <c r="G620" t="str">
        <v>false</v>
      </c>
    </row>
    <row r="621" spans="6:7" x14ac:dyDescent="0.3">
      <c r="F621" t="str">
        <v>contractSymbol:</v>
      </c>
      <c r="G621" t="str">
        <v>AAPL230609C00192500</v>
      </c>
    </row>
    <row r="622" spans="6:7" x14ac:dyDescent="0.3">
      <c r="F622" t="str">
        <v>strike:</v>
      </c>
      <c r="G622">
        <v>192.5</v>
      </c>
    </row>
    <row r="623" spans="6:7" x14ac:dyDescent="0.3">
      <c r="F623" t="str">
        <v>currency:</v>
      </c>
      <c r="G623" t="str">
        <v>USD</v>
      </c>
    </row>
    <row r="624" spans="6:7" x14ac:dyDescent="0.3">
      <c r="F624" t="str">
        <v>lastPrice:</v>
      </c>
      <c r="G624">
        <v>0.02</v>
      </c>
    </row>
    <row r="625" spans="6:7" x14ac:dyDescent="0.3">
      <c r="F625" t="str">
        <v>change:</v>
      </c>
      <c r="G625">
        <v>0</v>
      </c>
    </row>
    <row r="626" spans="6:7" x14ac:dyDescent="0.3">
      <c r="F626" t="str">
        <v>percentChange:</v>
      </c>
      <c r="G626">
        <v>0</v>
      </c>
    </row>
    <row r="627" spans="6:7" x14ac:dyDescent="0.3">
      <c r="F627" t="str">
        <v>volume:</v>
      </c>
      <c r="G627">
        <v>329</v>
      </c>
    </row>
    <row r="628" spans="6:7" x14ac:dyDescent="0.3">
      <c r="F628" t="str">
        <v>openInterest:</v>
      </c>
      <c r="G628">
        <v>23826</v>
      </c>
    </row>
    <row r="629" spans="6:7" x14ac:dyDescent="0.3">
      <c r="F629" t="str">
        <v>bid:</v>
      </c>
      <c r="G629">
        <v>0.01</v>
      </c>
    </row>
    <row r="630" spans="6:7" x14ac:dyDescent="0.3">
      <c r="F630" t="str">
        <v>ask:</v>
      </c>
      <c r="G630">
        <v>0.02</v>
      </c>
    </row>
    <row r="631" spans="6:7" x14ac:dyDescent="0.3">
      <c r="F631" t="str">
        <v>contractSize:</v>
      </c>
      <c r="G631" t="str">
        <v>REGULAR</v>
      </c>
    </row>
    <row r="632" spans="6:7" x14ac:dyDescent="0.3">
      <c r="F632" t="str">
        <v>expiration:</v>
      </c>
      <c r="G632">
        <v>1686268800</v>
      </c>
    </row>
    <row r="633" spans="6:7" x14ac:dyDescent="0.3">
      <c r="F633" t="str">
        <v>lastTradeDate:</v>
      </c>
      <c r="G633">
        <v>1686233462</v>
      </c>
    </row>
    <row r="634" spans="6:7" x14ac:dyDescent="0.3">
      <c r="F634" t="str">
        <v>impliedVolatility:</v>
      </c>
      <c r="G634">
        <v>0.43359941406250002</v>
      </c>
    </row>
    <row r="635" spans="6:7" x14ac:dyDescent="0.3">
      <c r="F635" t="str">
        <v>inTheMoney:</v>
      </c>
      <c r="G635" t="str">
        <v>false</v>
      </c>
    </row>
    <row r="636" spans="6:7" x14ac:dyDescent="0.3">
      <c r="F636" t="str">
        <v>contractSymbol:</v>
      </c>
      <c r="G636" t="str">
        <v>AAPL230609C00195000</v>
      </c>
    </row>
    <row r="637" spans="6:7" x14ac:dyDescent="0.3">
      <c r="F637" t="str">
        <v>strike:</v>
      </c>
      <c r="G637">
        <v>195</v>
      </c>
    </row>
    <row r="638" spans="6:7" x14ac:dyDescent="0.3">
      <c r="F638" t="str">
        <v>currency:</v>
      </c>
      <c r="G638" t="str">
        <v>USD</v>
      </c>
    </row>
    <row r="639" spans="6:7" x14ac:dyDescent="0.3">
      <c r="F639" t="str">
        <v>lastPrice:</v>
      </c>
      <c r="G639">
        <v>0.02</v>
      </c>
    </row>
    <row r="640" spans="6:7" x14ac:dyDescent="0.3">
      <c r="F640" t="str">
        <v>change:</v>
      </c>
      <c r="G640">
        <v>0.01</v>
      </c>
    </row>
    <row r="641" spans="6:7" x14ac:dyDescent="0.3">
      <c r="F641" t="str">
        <v>percentChange:</v>
      </c>
      <c r="G641">
        <v>100</v>
      </c>
    </row>
    <row r="642" spans="6:7" x14ac:dyDescent="0.3">
      <c r="F642" t="str">
        <v>volume:</v>
      </c>
      <c r="G642">
        <v>762</v>
      </c>
    </row>
    <row r="643" spans="6:7" x14ac:dyDescent="0.3">
      <c r="F643" t="str">
        <v>openInterest:</v>
      </c>
      <c r="G643">
        <v>37987</v>
      </c>
    </row>
    <row r="644" spans="6:7" x14ac:dyDescent="0.3">
      <c r="F644" t="str">
        <v>bid:</v>
      </c>
      <c r="G644">
        <v>0.01</v>
      </c>
    </row>
    <row r="645" spans="6:7" x14ac:dyDescent="0.3">
      <c r="F645" t="str">
        <v>ask:</v>
      </c>
      <c r="G645">
        <v>0.02</v>
      </c>
    </row>
    <row r="646" spans="6:7" x14ac:dyDescent="0.3">
      <c r="F646" t="str">
        <v>contractSize:</v>
      </c>
      <c r="G646" t="str">
        <v>REGULAR</v>
      </c>
    </row>
    <row r="647" spans="6:7" x14ac:dyDescent="0.3">
      <c r="F647" t="str">
        <v>expiration:</v>
      </c>
      <c r="G647">
        <v>1686268800</v>
      </c>
    </row>
    <row r="648" spans="6:7" x14ac:dyDescent="0.3">
      <c r="F648" t="str">
        <v>lastTradeDate:</v>
      </c>
      <c r="G648">
        <v>1686234109</v>
      </c>
    </row>
    <row r="649" spans="6:7" x14ac:dyDescent="0.3">
      <c r="F649" t="str">
        <v>impliedVolatility:</v>
      </c>
      <c r="G649">
        <v>0.50000500000000003</v>
      </c>
    </row>
    <row r="650" spans="6:7" x14ac:dyDescent="0.3">
      <c r="F650" t="str">
        <v>inTheMoney:</v>
      </c>
      <c r="G650" t="str">
        <v>false</v>
      </c>
    </row>
    <row r="651" spans="6:7" x14ac:dyDescent="0.3">
      <c r="F651" t="str">
        <v>contractSymbol:</v>
      </c>
      <c r="G651" t="str">
        <v>AAPL230609C00197500</v>
      </c>
    </row>
    <row r="652" spans="6:7" x14ac:dyDescent="0.3">
      <c r="F652" t="str">
        <v>strike:</v>
      </c>
      <c r="G652">
        <v>197.5</v>
      </c>
    </row>
    <row r="653" spans="6:7" x14ac:dyDescent="0.3">
      <c r="F653" t="str">
        <v>currency:</v>
      </c>
      <c r="G653" t="str">
        <v>USD</v>
      </c>
    </row>
    <row r="654" spans="6:7" x14ac:dyDescent="0.3">
      <c r="F654" t="str">
        <v>lastPrice:</v>
      </c>
      <c r="G654">
        <v>0.01</v>
      </c>
    </row>
    <row r="655" spans="6:7" x14ac:dyDescent="0.3">
      <c r="F655" t="str">
        <v>change:</v>
      </c>
      <c r="G655">
        <v>0</v>
      </c>
    </row>
    <row r="656" spans="6:7" x14ac:dyDescent="0.3">
      <c r="F656" t="str">
        <v>percentChange:</v>
      </c>
      <c r="G656">
        <v>0</v>
      </c>
    </row>
    <row r="657" spans="6:7" x14ac:dyDescent="0.3">
      <c r="F657" t="str">
        <v>volume:</v>
      </c>
      <c r="G657">
        <v>763</v>
      </c>
    </row>
    <row r="658" spans="6:7" x14ac:dyDescent="0.3">
      <c r="F658" t="str">
        <v>openInterest:</v>
      </c>
      <c r="G658">
        <v>7617</v>
      </c>
    </row>
    <row r="659" spans="6:7" x14ac:dyDescent="0.3">
      <c r="F659" t="str">
        <v>bid:</v>
      </c>
      <c r="G659">
        <v>0</v>
      </c>
    </row>
    <row r="660" spans="6:7" x14ac:dyDescent="0.3">
      <c r="F660" t="str">
        <v>ask:</v>
      </c>
      <c r="G660">
        <v>0.01</v>
      </c>
    </row>
    <row r="661" spans="6:7" x14ac:dyDescent="0.3">
      <c r="F661" t="str">
        <v>contractSize:</v>
      </c>
      <c r="G661" t="str">
        <v>REGULAR</v>
      </c>
    </row>
    <row r="662" spans="6:7" x14ac:dyDescent="0.3">
      <c r="F662" t="str">
        <v>expiration:</v>
      </c>
      <c r="G662">
        <v>1686268800</v>
      </c>
    </row>
    <row r="663" spans="6:7" x14ac:dyDescent="0.3">
      <c r="F663" t="str">
        <v>lastTradeDate:</v>
      </c>
      <c r="G663">
        <v>1686233572</v>
      </c>
    </row>
    <row r="664" spans="6:7" x14ac:dyDescent="0.3">
      <c r="F664" t="str">
        <v>impliedVolatility:</v>
      </c>
      <c r="G664">
        <v>0.51562984374999998</v>
      </c>
    </row>
    <row r="665" spans="6:7" x14ac:dyDescent="0.3">
      <c r="F665" t="str">
        <v>inTheMoney:</v>
      </c>
      <c r="G665" t="str">
        <v>false</v>
      </c>
    </row>
    <row r="666" spans="6:7" x14ac:dyDescent="0.3">
      <c r="F666" t="str">
        <v>contractSymbol:</v>
      </c>
      <c r="G666" t="str">
        <v>AAPL230609C00200000</v>
      </c>
    </row>
    <row r="667" spans="6:7" x14ac:dyDescent="0.3">
      <c r="F667" t="str">
        <v>strike:</v>
      </c>
      <c r="G667">
        <v>200</v>
      </c>
    </row>
    <row r="668" spans="6:7" x14ac:dyDescent="0.3">
      <c r="F668" t="str">
        <v>currency:</v>
      </c>
      <c r="G668" t="str">
        <v>USD</v>
      </c>
    </row>
    <row r="669" spans="6:7" x14ac:dyDescent="0.3">
      <c r="F669" t="str">
        <v>lastPrice:</v>
      </c>
      <c r="G669">
        <v>0.01</v>
      </c>
    </row>
    <row r="670" spans="6:7" x14ac:dyDescent="0.3">
      <c r="F670" t="str">
        <v>change:</v>
      </c>
      <c r="G670">
        <v>0</v>
      </c>
    </row>
    <row r="671" spans="6:7" x14ac:dyDescent="0.3">
      <c r="F671" t="str">
        <v>percentChange:</v>
      </c>
      <c r="G671">
        <v>0</v>
      </c>
    </row>
    <row r="672" spans="6:7" x14ac:dyDescent="0.3">
      <c r="F672" t="str">
        <v>volume:</v>
      </c>
      <c r="G672">
        <v>83</v>
      </c>
    </row>
    <row r="673" spans="6:7" x14ac:dyDescent="0.3">
      <c r="F673" t="str">
        <v>openInterest:</v>
      </c>
      <c r="G673">
        <v>22335</v>
      </c>
    </row>
    <row r="674" spans="6:7" x14ac:dyDescent="0.3">
      <c r="F674" t="str">
        <v>bid:</v>
      </c>
      <c r="G674">
        <v>0</v>
      </c>
    </row>
    <row r="675" spans="6:7" x14ac:dyDescent="0.3">
      <c r="F675" t="str">
        <v>ask:</v>
      </c>
      <c r="G675">
        <v>0.01</v>
      </c>
    </row>
    <row r="676" spans="6:7" x14ac:dyDescent="0.3">
      <c r="F676" t="str">
        <v>contractSize:</v>
      </c>
      <c r="G676" t="str">
        <v>REGULAR</v>
      </c>
    </row>
    <row r="677" spans="6:7" x14ac:dyDescent="0.3">
      <c r="F677" t="str">
        <v>expiration:</v>
      </c>
      <c r="G677">
        <v>1686268800</v>
      </c>
    </row>
    <row r="678" spans="6:7" x14ac:dyDescent="0.3">
      <c r="F678" t="str">
        <v>lastTradeDate:</v>
      </c>
      <c r="G678">
        <v>1686231829</v>
      </c>
    </row>
    <row r="679" spans="6:7" x14ac:dyDescent="0.3">
      <c r="F679" t="str">
        <v>impliedVolatility:</v>
      </c>
      <c r="G679">
        <v>0.53125468750000004</v>
      </c>
    </row>
    <row r="680" spans="6:7" x14ac:dyDescent="0.3">
      <c r="F680" t="str">
        <v>inTheMoney:</v>
      </c>
      <c r="G680" t="str">
        <v>false</v>
      </c>
    </row>
    <row r="681" spans="6:7" x14ac:dyDescent="0.3">
      <c r="F681" t="str">
        <v>contractSymbol:</v>
      </c>
      <c r="G681" t="str">
        <v>AAPL230609C00202500</v>
      </c>
    </row>
    <row r="682" spans="6:7" x14ac:dyDescent="0.3">
      <c r="F682" t="str">
        <v>strike:</v>
      </c>
      <c r="G682">
        <v>202.5</v>
      </c>
    </row>
    <row r="683" spans="6:7" x14ac:dyDescent="0.3">
      <c r="F683" t="str">
        <v>currency:</v>
      </c>
      <c r="G683" t="str">
        <v>USD</v>
      </c>
    </row>
    <row r="684" spans="6:7" x14ac:dyDescent="0.3">
      <c r="F684" t="str">
        <v>lastPrice:</v>
      </c>
      <c r="G684">
        <v>0.01</v>
      </c>
    </row>
    <row r="685" spans="6:7" x14ac:dyDescent="0.3">
      <c r="F685" t="str">
        <v>change:</v>
      </c>
      <c r="G685">
        <v>0</v>
      </c>
    </row>
    <row r="686" spans="6:7" x14ac:dyDescent="0.3">
      <c r="F686" t="str">
        <v>percentChange:</v>
      </c>
      <c r="G686">
        <v>0</v>
      </c>
    </row>
    <row r="687" spans="6:7" x14ac:dyDescent="0.3">
      <c r="F687" t="str">
        <v>volume:</v>
      </c>
      <c r="G687">
        <v>276</v>
      </c>
    </row>
    <row r="688" spans="6:7" x14ac:dyDescent="0.3">
      <c r="F688" t="str">
        <v>openInterest:</v>
      </c>
      <c r="G688">
        <v>9130</v>
      </c>
    </row>
    <row r="689" spans="6:7" x14ac:dyDescent="0.3">
      <c r="F689" t="str">
        <v>bid:</v>
      </c>
      <c r="G689">
        <v>0</v>
      </c>
    </row>
    <row r="690" spans="6:7" x14ac:dyDescent="0.3">
      <c r="F690" t="str">
        <v>ask:</v>
      </c>
      <c r="G690">
        <v>0.01</v>
      </c>
    </row>
    <row r="691" spans="6:7" x14ac:dyDescent="0.3">
      <c r="F691" t="str">
        <v>contractSize:</v>
      </c>
      <c r="G691" t="str">
        <v>REGULAR</v>
      </c>
    </row>
    <row r="692" spans="6:7" x14ac:dyDescent="0.3">
      <c r="F692" t="str">
        <v>expiration:</v>
      </c>
      <c r="G692">
        <v>1686268800</v>
      </c>
    </row>
    <row r="693" spans="6:7" x14ac:dyDescent="0.3">
      <c r="F693" t="str">
        <v>lastTradeDate:</v>
      </c>
      <c r="G693">
        <v>1686233378</v>
      </c>
    </row>
    <row r="694" spans="6:7" x14ac:dyDescent="0.3">
      <c r="F694" t="str">
        <v>impliedVolatility:</v>
      </c>
      <c r="G694">
        <v>0.59375406250000007</v>
      </c>
    </row>
    <row r="695" spans="6:7" x14ac:dyDescent="0.3">
      <c r="F695" t="str">
        <v>inTheMoney:</v>
      </c>
      <c r="G695" t="str">
        <v>false</v>
      </c>
    </row>
    <row r="696" spans="6:7" x14ac:dyDescent="0.3">
      <c r="F696" t="str">
        <v>contractSymbol:</v>
      </c>
      <c r="G696" t="str">
        <v>AAPL230609C00205000</v>
      </c>
    </row>
    <row r="697" spans="6:7" x14ac:dyDescent="0.3">
      <c r="F697" t="str">
        <v>strike:</v>
      </c>
      <c r="G697">
        <v>205</v>
      </c>
    </row>
    <row r="698" spans="6:7" x14ac:dyDescent="0.3">
      <c r="F698" t="str">
        <v>currency:</v>
      </c>
      <c r="G698" t="str">
        <v>USD</v>
      </c>
    </row>
    <row r="699" spans="6:7" x14ac:dyDescent="0.3">
      <c r="F699" t="str">
        <v>lastPrice:</v>
      </c>
      <c r="G699">
        <v>0.01</v>
      </c>
    </row>
    <row r="700" spans="6:7" x14ac:dyDescent="0.3">
      <c r="F700" t="str">
        <v>change:</v>
      </c>
      <c r="G700">
        <v>0</v>
      </c>
    </row>
    <row r="701" spans="6:7" x14ac:dyDescent="0.3">
      <c r="F701" t="str">
        <v>percentChange:</v>
      </c>
      <c r="G701">
        <v>0</v>
      </c>
    </row>
    <row r="702" spans="6:7" x14ac:dyDescent="0.3">
      <c r="F702" t="str">
        <v>volume:</v>
      </c>
      <c r="G702">
        <v>101</v>
      </c>
    </row>
    <row r="703" spans="6:7" x14ac:dyDescent="0.3">
      <c r="F703" t="str">
        <v>openInterest:</v>
      </c>
      <c r="G703">
        <v>6832</v>
      </c>
    </row>
    <row r="704" spans="6:7" x14ac:dyDescent="0.3">
      <c r="F704" t="str">
        <v>bid:</v>
      </c>
      <c r="G704">
        <v>0</v>
      </c>
    </row>
    <row r="705" spans="6:7" x14ac:dyDescent="0.3">
      <c r="F705" t="str">
        <v>ask:</v>
      </c>
      <c r="G705">
        <v>0.01</v>
      </c>
    </row>
    <row r="706" spans="6:7" x14ac:dyDescent="0.3">
      <c r="F706" t="str">
        <v>contractSize:</v>
      </c>
      <c r="G706" t="str">
        <v>REGULAR</v>
      </c>
    </row>
    <row r="707" spans="6:7" x14ac:dyDescent="0.3">
      <c r="F707" t="str">
        <v>expiration:</v>
      </c>
      <c r="G707">
        <v>1686268800</v>
      </c>
    </row>
    <row r="708" spans="6:7" x14ac:dyDescent="0.3">
      <c r="F708" t="str">
        <v>lastTradeDate:</v>
      </c>
      <c r="G708">
        <v>1686158654</v>
      </c>
    </row>
    <row r="709" spans="6:7" x14ac:dyDescent="0.3">
      <c r="F709" t="str">
        <v>impliedVolatility:</v>
      </c>
      <c r="G709">
        <v>0.64062859375000003</v>
      </c>
    </row>
    <row r="710" spans="6:7" x14ac:dyDescent="0.3">
      <c r="F710" t="str">
        <v>inTheMoney:</v>
      </c>
      <c r="G710" t="str">
        <v>false</v>
      </c>
    </row>
    <row r="711" spans="6:7" x14ac:dyDescent="0.3">
      <c r="F711" t="str">
        <v>contractSymbol:</v>
      </c>
      <c r="G711" t="str">
        <v>AAPL230609C00207500</v>
      </c>
    </row>
    <row r="712" spans="6:7" x14ac:dyDescent="0.3">
      <c r="F712" t="str">
        <v>strike:</v>
      </c>
      <c r="G712">
        <v>207.5</v>
      </c>
    </row>
    <row r="713" spans="6:7" x14ac:dyDescent="0.3">
      <c r="F713" t="str">
        <v>currency:</v>
      </c>
      <c r="G713" t="str">
        <v>USD</v>
      </c>
    </row>
    <row r="714" spans="6:7" x14ac:dyDescent="0.3">
      <c r="F714" t="str">
        <v>lastPrice:</v>
      </c>
      <c r="G714">
        <v>0.01</v>
      </c>
    </row>
    <row r="715" spans="6:7" x14ac:dyDescent="0.3">
      <c r="F715" t="str">
        <v>change:</v>
      </c>
      <c r="G715">
        <v>0</v>
      </c>
    </row>
    <row r="716" spans="6:7" x14ac:dyDescent="0.3">
      <c r="F716" t="str">
        <v>percentChange:</v>
      </c>
      <c r="G716">
        <v>0</v>
      </c>
    </row>
    <row r="717" spans="6:7" x14ac:dyDescent="0.3">
      <c r="F717" t="str">
        <v>volume:</v>
      </c>
      <c r="G717">
        <v>36</v>
      </c>
    </row>
    <row r="718" spans="6:7" x14ac:dyDescent="0.3">
      <c r="F718" t="str">
        <v>openInterest:</v>
      </c>
      <c r="G718">
        <v>1286</v>
      </c>
    </row>
    <row r="719" spans="6:7" x14ac:dyDescent="0.3">
      <c r="F719" t="str">
        <v>bid:</v>
      </c>
      <c r="G719">
        <v>0</v>
      </c>
    </row>
    <row r="720" spans="6:7" x14ac:dyDescent="0.3">
      <c r="F720" t="str">
        <v>ask:</v>
      </c>
      <c r="G720">
        <v>0.01</v>
      </c>
    </row>
    <row r="721" spans="6:7" x14ac:dyDescent="0.3">
      <c r="F721" t="str">
        <v>contractSize:</v>
      </c>
      <c r="G721" t="str">
        <v>REGULAR</v>
      </c>
    </row>
    <row r="722" spans="6:7" x14ac:dyDescent="0.3">
      <c r="F722" t="str">
        <v>expiration:</v>
      </c>
      <c r="G722">
        <v>1686268800</v>
      </c>
    </row>
    <row r="723" spans="6:7" x14ac:dyDescent="0.3">
      <c r="F723" t="str">
        <v>lastTradeDate:</v>
      </c>
      <c r="G723">
        <v>1686155198</v>
      </c>
    </row>
    <row r="724" spans="6:7" x14ac:dyDescent="0.3">
      <c r="F724" t="str">
        <v>impliedVolatility:</v>
      </c>
      <c r="G724">
        <v>0.6875031250000001</v>
      </c>
    </row>
    <row r="725" spans="6:7" x14ac:dyDescent="0.3">
      <c r="F725" t="str">
        <v>inTheMoney:</v>
      </c>
      <c r="G725" t="str">
        <v>false</v>
      </c>
    </row>
    <row r="726" spans="6:7" x14ac:dyDescent="0.3">
      <c r="F726" t="str">
        <v>contractSymbol:</v>
      </c>
      <c r="G726" t="str">
        <v>AAPL230609C00210000</v>
      </c>
    </row>
    <row r="727" spans="6:7" x14ac:dyDescent="0.3">
      <c r="F727" t="str">
        <v>strike:</v>
      </c>
      <c r="G727">
        <v>210</v>
      </c>
    </row>
    <row r="728" spans="6:7" x14ac:dyDescent="0.3">
      <c r="F728" t="str">
        <v>currency:</v>
      </c>
      <c r="G728" t="str">
        <v>USD</v>
      </c>
    </row>
    <row r="729" spans="6:7" x14ac:dyDescent="0.3">
      <c r="F729" t="str">
        <v>lastPrice:</v>
      </c>
      <c r="G729">
        <v>0.01</v>
      </c>
    </row>
    <row r="730" spans="6:7" x14ac:dyDescent="0.3">
      <c r="F730" t="str">
        <v>change:</v>
      </c>
      <c r="G730">
        <v>0</v>
      </c>
    </row>
    <row r="731" spans="6:7" x14ac:dyDescent="0.3">
      <c r="F731" t="str">
        <v>percentChange:</v>
      </c>
      <c r="G731">
        <v>0</v>
      </c>
    </row>
    <row r="732" spans="6:7" x14ac:dyDescent="0.3">
      <c r="F732" t="str">
        <v>volume:</v>
      </c>
      <c r="G732">
        <v>157</v>
      </c>
    </row>
    <row r="733" spans="6:7" x14ac:dyDescent="0.3">
      <c r="F733" t="str">
        <v>openInterest:</v>
      </c>
      <c r="G733">
        <v>4729</v>
      </c>
    </row>
    <row r="734" spans="6:7" x14ac:dyDescent="0.3">
      <c r="F734" t="str">
        <v>bid:</v>
      </c>
      <c r="G734">
        <v>0</v>
      </c>
    </row>
    <row r="735" spans="6:7" x14ac:dyDescent="0.3">
      <c r="F735" t="str">
        <v>ask:</v>
      </c>
      <c r="G735">
        <v>0.01</v>
      </c>
    </row>
    <row r="736" spans="6:7" x14ac:dyDescent="0.3">
      <c r="F736" t="str">
        <v>contractSize:</v>
      </c>
      <c r="G736" t="str">
        <v>REGULAR</v>
      </c>
    </row>
    <row r="737" spans="6:7" x14ac:dyDescent="0.3">
      <c r="F737" t="str">
        <v>expiration:</v>
      </c>
      <c r="G737">
        <v>1686268800</v>
      </c>
    </row>
    <row r="738" spans="6:7" x14ac:dyDescent="0.3">
      <c r="F738" t="str">
        <v>lastTradeDate:</v>
      </c>
      <c r="G738">
        <v>1686167602</v>
      </c>
    </row>
    <row r="739" spans="6:7" x14ac:dyDescent="0.3">
      <c r="F739" t="str">
        <v>impliedVolatility:</v>
      </c>
      <c r="G739">
        <v>0.75000250000000002</v>
      </c>
    </row>
    <row r="740" spans="6:7" x14ac:dyDescent="0.3">
      <c r="F740" t="str">
        <v>inTheMoney:</v>
      </c>
      <c r="G740" t="str">
        <v>false</v>
      </c>
    </row>
    <row r="741" spans="6:7" x14ac:dyDescent="0.3">
      <c r="F741" t="str">
        <v>contractSymbol:</v>
      </c>
      <c r="G741" t="str">
        <v>AAPL230609C00215000</v>
      </c>
    </row>
    <row r="742" spans="6:7" x14ac:dyDescent="0.3">
      <c r="F742" t="str">
        <v>strike:</v>
      </c>
      <c r="G742">
        <v>215</v>
      </c>
    </row>
    <row r="743" spans="6:7" x14ac:dyDescent="0.3">
      <c r="F743" t="str">
        <v>currency:</v>
      </c>
      <c r="G743" t="str">
        <v>USD</v>
      </c>
    </row>
    <row r="744" spans="6:7" x14ac:dyDescent="0.3">
      <c r="F744" t="str">
        <v>lastPrice:</v>
      </c>
      <c r="G744">
        <v>0.01</v>
      </c>
    </row>
    <row r="745" spans="6:7" x14ac:dyDescent="0.3">
      <c r="F745" t="str">
        <v>change:</v>
      </c>
      <c r="G745">
        <v>0</v>
      </c>
    </row>
    <row r="746" spans="6:7" x14ac:dyDescent="0.3">
      <c r="F746" t="str">
        <v>percentChange:</v>
      </c>
      <c r="G746">
        <v>0</v>
      </c>
    </row>
    <row r="747" spans="6:7" x14ac:dyDescent="0.3">
      <c r="F747" t="str">
        <v>volume:</v>
      </c>
      <c r="G747">
        <v>10</v>
      </c>
    </row>
    <row r="748" spans="6:7" x14ac:dyDescent="0.3">
      <c r="F748" t="str">
        <v>openInterest:</v>
      </c>
      <c r="G748">
        <v>3897</v>
      </c>
    </row>
    <row r="749" spans="6:7" x14ac:dyDescent="0.3">
      <c r="F749" t="str">
        <v>bid:</v>
      </c>
      <c r="G749">
        <v>0</v>
      </c>
    </row>
    <row r="750" spans="6:7" x14ac:dyDescent="0.3">
      <c r="F750" t="str">
        <v>ask:</v>
      </c>
      <c r="G750">
        <v>0.01</v>
      </c>
    </row>
    <row r="751" spans="6:7" x14ac:dyDescent="0.3">
      <c r="F751" t="str">
        <v>contractSize:</v>
      </c>
      <c r="G751" t="str">
        <v>REGULAR</v>
      </c>
    </row>
    <row r="752" spans="6:7" x14ac:dyDescent="0.3">
      <c r="F752" t="str">
        <v>expiration:</v>
      </c>
      <c r="G752">
        <v>1686268800</v>
      </c>
    </row>
    <row r="753" spans="6:7" x14ac:dyDescent="0.3">
      <c r="F753" t="str">
        <v>lastTradeDate:</v>
      </c>
      <c r="G753">
        <v>1686071351</v>
      </c>
    </row>
    <row r="754" spans="6:7" x14ac:dyDescent="0.3">
      <c r="F754" t="str">
        <v>impliedVolatility:</v>
      </c>
      <c r="G754">
        <v>0.84375156249999994</v>
      </c>
    </row>
    <row r="755" spans="6:7" x14ac:dyDescent="0.3">
      <c r="F755" t="str">
        <v>inTheMoney:</v>
      </c>
      <c r="G755" t="str">
        <v>false</v>
      </c>
    </row>
    <row r="756" spans="6:7" x14ac:dyDescent="0.3">
      <c r="F756" t="str">
        <v>contractSymbol:</v>
      </c>
      <c r="G756" t="str">
        <v>AAPL230609C00220000</v>
      </c>
    </row>
    <row r="757" spans="6:7" x14ac:dyDescent="0.3">
      <c r="F757" t="str">
        <v>strike:</v>
      </c>
      <c r="G757">
        <v>220</v>
      </c>
    </row>
    <row r="758" spans="6:7" x14ac:dyDescent="0.3">
      <c r="F758" t="str">
        <v>currency:</v>
      </c>
      <c r="G758" t="str">
        <v>USD</v>
      </c>
    </row>
    <row r="759" spans="6:7" x14ac:dyDescent="0.3">
      <c r="F759" t="str">
        <v>lastPrice:</v>
      </c>
      <c r="G759">
        <v>0.01</v>
      </c>
    </row>
    <row r="760" spans="6:7" x14ac:dyDescent="0.3">
      <c r="F760" t="str">
        <v>change:</v>
      </c>
      <c r="G760">
        <v>0</v>
      </c>
    </row>
    <row r="761" spans="6:7" x14ac:dyDescent="0.3">
      <c r="F761" t="str">
        <v>percentChange:</v>
      </c>
      <c r="G761">
        <v>0</v>
      </c>
    </row>
    <row r="762" spans="6:7" x14ac:dyDescent="0.3">
      <c r="F762" t="str">
        <v>volume:</v>
      </c>
      <c r="G762">
        <v>42</v>
      </c>
    </row>
    <row r="763" spans="6:7" x14ac:dyDescent="0.3">
      <c r="F763" t="str">
        <v>openInterest:</v>
      </c>
      <c r="G763">
        <v>3620</v>
      </c>
    </row>
    <row r="764" spans="6:7" x14ac:dyDescent="0.3">
      <c r="F764" t="str">
        <v>bid:</v>
      </c>
      <c r="G764">
        <v>0</v>
      </c>
    </row>
    <row r="765" spans="6:7" x14ac:dyDescent="0.3">
      <c r="F765" t="str">
        <v>ask:</v>
      </c>
      <c r="G765">
        <v>0.01</v>
      </c>
    </row>
    <row r="766" spans="6:7" x14ac:dyDescent="0.3">
      <c r="F766" t="str">
        <v>contractSize:</v>
      </c>
      <c r="G766" t="str">
        <v>REGULAR</v>
      </c>
    </row>
    <row r="767" spans="6:7" x14ac:dyDescent="0.3">
      <c r="F767" t="str">
        <v>expiration:</v>
      </c>
      <c r="G767">
        <v>1686268800</v>
      </c>
    </row>
    <row r="768" spans="6:7" x14ac:dyDescent="0.3">
      <c r="F768" t="str">
        <v>lastTradeDate:</v>
      </c>
      <c r="G768">
        <v>1686162423</v>
      </c>
    </row>
    <row r="769" spans="6:7" x14ac:dyDescent="0.3">
      <c r="F769" t="str">
        <v>impliedVolatility:</v>
      </c>
      <c r="G769">
        <v>0.93750062499999998</v>
      </c>
    </row>
    <row r="770" spans="6:7" x14ac:dyDescent="0.3">
      <c r="F770" t="str">
        <v>inTheMoney:</v>
      </c>
      <c r="G770" t="str">
        <v>false</v>
      </c>
    </row>
    <row r="771" spans="6:7" x14ac:dyDescent="0.3">
      <c r="F771" t="str">
        <v>contractSymbol:</v>
      </c>
      <c r="G771" t="str">
        <v>AAPL230609C00225000</v>
      </c>
    </row>
    <row r="772" spans="6:7" x14ac:dyDescent="0.3">
      <c r="F772" t="str">
        <v>strike:</v>
      </c>
      <c r="G772">
        <v>225</v>
      </c>
    </row>
    <row r="773" spans="6:7" x14ac:dyDescent="0.3">
      <c r="F773" t="str">
        <v>currency:</v>
      </c>
      <c r="G773" t="str">
        <v>USD</v>
      </c>
    </row>
    <row r="774" spans="6:7" x14ac:dyDescent="0.3">
      <c r="F774" t="str">
        <v>lastPrice:</v>
      </c>
      <c r="G774">
        <v>0.01</v>
      </c>
    </row>
    <row r="775" spans="6:7" x14ac:dyDescent="0.3">
      <c r="F775" t="str">
        <v>change:</v>
      </c>
      <c r="G775">
        <v>0</v>
      </c>
    </row>
    <row r="776" spans="6:7" x14ac:dyDescent="0.3">
      <c r="F776" t="str">
        <v>percentChange:</v>
      </c>
      <c r="G776">
        <v>0</v>
      </c>
    </row>
    <row r="777" spans="6:7" x14ac:dyDescent="0.3">
      <c r="F777" t="str">
        <v>volume:</v>
      </c>
      <c r="G777">
        <v>2</v>
      </c>
    </row>
    <row r="778" spans="6:7" x14ac:dyDescent="0.3">
      <c r="F778" t="str">
        <v>openInterest:</v>
      </c>
      <c r="G778">
        <v>978</v>
      </c>
    </row>
    <row r="779" spans="6:7" x14ac:dyDescent="0.3">
      <c r="F779" t="str">
        <v>bid:</v>
      </c>
      <c r="G779">
        <v>0</v>
      </c>
    </row>
    <row r="780" spans="6:7" x14ac:dyDescent="0.3">
      <c r="F780" t="str">
        <v>ask:</v>
      </c>
      <c r="G780">
        <v>0.01</v>
      </c>
    </row>
    <row r="781" spans="6:7" x14ac:dyDescent="0.3">
      <c r="F781" t="str">
        <v>contractSize:</v>
      </c>
      <c r="G781" t="str">
        <v>REGULAR</v>
      </c>
    </row>
    <row r="782" spans="6:7" x14ac:dyDescent="0.3">
      <c r="F782" t="str">
        <v>expiration:</v>
      </c>
      <c r="G782">
        <v>1686268800</v>
      </c>
    </row>
    <row r="783" spans="6:7" x14ac:dyDescent="0.3">
      <c r="F783" t="str">
        <v>lastTradeDate:</v>
      </c>
      <c r="G783">
        <v>1686058206</v>
      </c>
    </row>
    <row r="784" spans="6:7" x14ac:dyDescent="0.3">
      <c r="F784" t="str">
        <v>impliedVolatility:</v>
      </c>
      <c r="G784">
        <v>1.0312548437500002</v>
      </c>
    </row>
    <row r="785" spans="6:7" x14ac:dyDescent="0.3">
      <c r="F785" t="str">
        <v>inTheMoney:</v>
      </c>
      <c r="G785" t="str">
        <v>false</v>
      </c>
    </row>
    <row r="786" spans="6:7" x14ac:dyDescent="0.3">
      <c r="F786" t="str">
        <v>contractSymbol:</v>
      </c>
      <c r="G786" t="str">
        <v>AAPL230609C00230000</v>
      </c>
    </row>
    <row r="787" spans="6:7" x14ac:dyDescent="0.3">
      <c r="F787" t="str">
        <v>strike:</v>
      </c>
      <c r="G787">
        <v>230</v>
      </c>
    </row>
    <row r="788" spans="6:7" x14ac:dyDescent="0.3">
      <c r="F788" t="str">
        <v>currency:</v>
      </c>
      <c r="G788" t="str">
        <v>USD</v>
      </c>
    </row>
    <row r="789" spans="6:7" x14ac:dyDescent="0.3">
      <c r="F789" t="str">
        <v>lastPrice:</v>
      </c>
      <c r="G789">
        <v>0.01</v>
      </c>
    </row>
    <row r="790" spans="6:7" x14ac:dyDescent="0.3">
      <c r="F790" t="str">
        <v>change:</v>
      </c>
      <c r="G790">
        <v>0</v>
      </c>
    </row>
    <row r="791" spans="6:7" x14ac:dyDescent="0.3">
      <c r="F791" t="str">
        <v>percentChange:</v>
      </c>
      <c r="G791">
        <v>0</v>
      </c>
    </row>
    <row r="792" spans="6:7" x14ac:dyDescent="0.3">
      <c r="F792" t="str">
        <v>volume:</v>
      </c>
      <c r="G792">
        <v>1</v>
      </c>
    </row>
    <row r="793" spans="6:7" x14ac:dyDescent="0.3">
      <c r="F793" t="str">
        <v>openInterest:</v>
      </c>
      <c r="G793">
        <v>1576</v>
      </c>
    </row>
    <row r="794" spans="6:7" x14ac:dyDescent="0.3">
      <c r="F794" t="str">
        <v>bid:</v>
      </c>
      <c r="G794">
        <v>0</v>
      </c>
    </row>
    <row r="795" spans="6:7" x14ac:dyDescent="0.3">
      <c r="F795" t="str">
        <v>ask:</v>
      </c>
      <c r="G795">
        <v>0.01</v>
      </c>
    </row>
    <row r="796" spans="6:7" x14ac:dyDescent="0.3">
      <c r="F796" t="str">
        <v>contractSize:</v>
      </c>
      <c r="G796" t="str">
        <v>REGULAR</v>
      </c>
    </row>
    <row r="797" spans="6:7" x14ac:dyDescent="0.3">
      <c r="F797" t="str">
        <v>expiration:</v>
      </c>
      <c r="G797">
        <v>1686268800</v>
      </c>
    </row>
    <row r="798" spans="6:7" x14ac:dyDescent="0.3">
      <c r="F798" t="str">
        <v>lastTradeDate:</v>
      </c>
      <c r="G798">
        <v>1686078259</v>
      </c>
    </row>
    <row r="799" spans="6:7" x14ac:dyDescent="0.3">
      <c r="F799" t="str">
        <v>impliedVolatility:</v>
      </c>
      <c r="G799">
        <v>1.1250043750000001</v>
      </c>
    </row>
    <row r="800" spans="6:7" x14ac:dyDescent="0.3">
      <c r="F800" t="str">
        <v>inTheMoney:</v>
      </c>
      <c r="G800" t="str">
        <v>false</v>
      </c>
    </row>
    <row r="801" spans="6:7" x14ac:dyDescent="0.3">
      <c r="F801" t="str">
        <v>contractSymbol:</v>
      </c>
      <c r="G801" t="str">
        <v>AAPL230609C00235000</v>
      </c>
    </row>
    <row r="802" spans="6:7" x14ac:dyDescent="0.3">
      <c r="F802" t="str">
        <v>strike:</v>
      </c>
      <c r="G802">
        <v>235</v>
      </c>
    </row>
    <row r="803" spans="6:7" x14ac:dyDescent="0.3">
      <c r="F803" t="str">
        <v>currency:</v>
      </c>
      <c r="G803" t="str">
        <v>USD</v>
      </c>
    </row>
    <row r="804" spans="6:7" x14ac:dyDescent="0.3">
      <c r="F804" t="str">
        <v>lastPrice:</v>
      </c>
      <c r="G804">
        <v>0.01</v>
      </c>
    </row>
    <row r="805" spans="6:7" x14ac:dyDescent="0.3">
      <c r="F805" t="str">
        <v>change:</v>
      </c>
      <c r="G805">
        <v>0</v>
      </c>
    </row>
    <row r="806" spans="6:7" x14ac:dyDescent="0.3">
      <c r="F806" t="str">
        <v>percentChange:</v>
      </c>
      <c r="G806">
        <v>0</v>
      </c>
    </row>
    <row r="807" spans="6:7" x14ac:dyDescent="0.3">
      <c r="F807" t="str">
        <v>volume:</v>
      </c>
      <c r="G807">
        <v>1</v>
      </c>
    </row>
    <row r="808" spans="6:7" x14ac:dyDescent="0.3">
      <c r="F808" t="str">
        <v>openInterest:</v>
      </c>
      <c r="G808">
        <v>16818</v>
      </c>
    </row>
    <row r="809" spans="6:7" x14ac:dyDescent="0.3">
      <c r="F809" t="str">
        <v>bid:</v>
      </c>
      <c r="G809">
        <v>0</v>
      </c>
    </row>
    <row r="810" spans="6:7" x14ac:dyDescent="0.3">
      <c r="F810" t="str">
        <v>ask:</v>
      </c>
      <c r="G810">
        <v>0.01</v>
      </c>
    </row>
    <row r="811" spans="6:7" x14ac:dyDescent="0.3">
      <c r="F811" t="str">
        <v>contractSize:</v>
      </c>
      <c r="G811" t="str">
        <v>REGULAR</v>
      </c>
    </row>
    <row r="812" spans="6:7" x14ac:dyDescent="0.3">
      <c r="F812" t="str">
        <v>expiration:</v>
      </c>
      <c r="G812">
        <v>1686268800</v>
      </c>
    </row>
    <row r="813" spans="6:7" x14ac:dyDescent="0.3">
      <c r="F813" t="str">
        <v>lastTradeDate:</v>
      </c>
      <c r="G813">
        <v>1686164916</v>
      </c>
    </row>
    <row r="814" spans="6:7" x14ac:dyDescent="0.3">
      <c r="F814" t="str">
        <v>impliedVolatility:</v>
      </c>
      <c r="G814">
        <v>1.1875040625</v>
      </c>
    </row>
    <row r="815" spans="6:7" x14ac:dyDescent="0.3">
      <c r="F815" t="str">
        <v>inTheMoney:</v>
      </c>
      <c r="G815" t="str">
        <v>false</v>
      </c>
    </row>
    <row r="816" spans="6:7" x14ac:dyDescent="0.3">
      <c r="F816" t="str">
        <v>contractSymbol:</v>
      </c>
      <c r="G816" t="str">
        <v>AAPL230609C00240000</v>
      </c>
    </row>
    <row r="817" spans="6:7" x14ac:dyDescent="0.3">
      <c r="F817" t="str">
        <v>strike:</v>
      </c>
      <c r="G817">
        <v>240</v>
      </c>
    </row>
    <row r="818" spans="6:7" x14ac:dyDescent="0.3">
      <c r="F818" t="str">
        <v>currency:</v>
      </c>
      <c r="G818" t="str">
        <v>USD</v>
      </c>
    </row>
    <row r="819" spans="6:7" x14ac:dyDescent="0.3">
      <c r="F819" t="str">
        <v>lastPrice:</v>
      </c>
      <c r="G819">
        <v>0.01</v>
      </c>
    </row>
    <row r="820" spans="6:7" x14ac:dyDescent="0.3">
      <c r="F820" t="str">
        <v>change:</v>
      </c>
      <c r="G820">
        <v>0</v>
      </c>
    </row>
    <row r="821" spans="6:7" x14ac:dyDescent="0.3">
      <c r="F821" t="str">
        <v>percentChange:</v>
      </c>
      <c r="G821">
        <v>0</v>
      </c>
    </row>
    <row r="822" spans="6:7" x14ac:dyDescent="0.3">
      <c r="F822" t="str">
        <v>volume:</v>
      </c>
      <c r="G822">
        <v>1</v>
      </c>
    </row>
    <row r="823" spans="6:7" x14ac:dyDescent="0.3">
      <c r="F823" t="str">
        <v>openInterest:</v>
      </c>
      <c r="G823">
        <v>15066</v>
      </c>
    </row>
    <row r="824" spans="6:7" x14ac:dyDescent="0.3">
      <c r="F824" t="str">
        <v>bid:</v>
      </c>
      <c r="G824">
        <v>0</v>
      </c>
    </row>
    <row r="825" spans="6:7" x14ac:dyDescent="0.3">
      <c r="F825" t="str">
        <v>ask:</v>
      </c>
      <c r="G825">
        <v>0.01</v>
      </c>
    </row>
    <row r="826" spans="6:7" x14ac:dyDescent="0.3">
      <c r="F826" t="str">
        <v>contractSize:</v>
      </c>
      <c r="G826" t="str">
        <v>REGULAR</v>
      </c>
    </row>
    <row r="827" spans="6:7" x14ac:dyDescent="0.3">
      <c r="F827" t="str">
        <v>expiration:</v>
      </c>
      <c r="G827">
        <v>1686268800</v>
      </c>
    </row>
    <row r="828" spans="6:7" x14ac:dyDescent="0.3">
      <c r="F828" t="str">
        <v>lastTradeDate:</v>
      </c>
      <c r="G828">
        <v>1686145148</v>
      </c>
    </row>
    <row r="829" spans="6:7" x14ac:dyDescent="0.3">
      <c r="F829" t="str">
        <v>impliedVolatility:</v>
      </c>
      <c r="G829">
        <v>1.2812535937499998</v>
      </c>
    </row>
    <row r="830" spans="6:7" x14ac:dyDescent="0.3">
      <c r="F830" t="str">
        <v>inTheMoney:</v>
      </c>
      <c r="G830" t="str">
        <v>false</v>
      </c>
    </row>
    <row r="831" spans="6:7" x14ac:dyDescent="0.3">
      <c r="F831" t="str">
        <v>contractSymbol:</v>
      </c>
      <c r="G831" t="str">
        <v>AAPL230609C00245000</v>
      </c>
    </row>
    <row r="832" spans="6:7" x14ac:dyDescent="0.3">
      <c r="F832" t="str">
        <v>strike:</v>
      </c>
      <c r="G832">
        <v>245</v>
      </c>
    </row>
    <row r="833" spans="6:7" x14ac:dyDescent="0.3">
      <c r="F833" t="str">
        <v>currency:</v>
      </c>
      <c r="G833" t="str">
        <v>USD</v>
      </c>
    </row>
    <row r="834" spans="6:7" x14ac:dyDescent="0.3">
      <c r="F834" t="str">
        <v>lastPrice:</v>
      </c>
      <c r="G834">
        <v>0.01</v>
      </c>
    </row>
    <row r="835" spans="6:7" x14ac:dyDescent="0.3">
      <c r="F835" t="str">
        <v>change:</v>
      </c>
      <c r="G835">
        <v>0</v>
      </c>
    </row>
    <row r="836" spans="6:7" x14ac:dyDescent="0.3">
      <c r="F836" t="str">
        <v>percentChange:</v>
      </c>
      <c r="G836">
        <v>0</v>
      </c>
    </row>
    <row r="837" spans="6:7" x14ac:dyDescent="0.3">
      <c r="F837" t="str">
        <v>volume:</v>
      </c>
      <c r="G837">
        <v>1</v>
      </c>
    </row>
    <row r="838" spans="6:7" x14ac:dyDescent="0.3">
      <c r="F838" t="str">
        <v>openInterest:</v>
      </c>
      <c r="G838">
        <v>10426</v>
      </c>
    </row>
    <row r="839" spans="6:7" x14ac:dyDescent="0.3">
      <c r="F839" t="str">
        <v>bid:</v>
      </c>
      <c r="G839">
        <v>0</v>
      </c>
    </row>
    <row r="840" spans="6:7" x14ac:dyDescent="0.3">
      <c r="F840" t="str">
        <v>ask:</v>
      </c>
      <c r="G840">
        <v>0.01</v>
      </c>
    </row>
    <row r="841" spans="6:7" x14ac:dyDescent="0.3">
      <c r="F841" t="str">
        <v>contractSize:</v>
      </c>
      <c r="G841" t="str">
        <v>REGULAR</v>
      </c>
    </row>
    <row r="842" spans="6:7" x14ac:dyDescent="0.3">
      <c r="F842" t="str">
        <v>expiration:</v>
      </c>
      <c r="G842">
        <v>1686268800</v>
      </c>
    </row>
    <row r="843" spans="6:7" x14ac:dyDescent="0.3">
      <c r="F843" t="str">
        <v>lastTradeDate:</v>
      </c>
      <c r="G843">
        <v>1686058205</v>
      </c>
    </row>
    <row r="844" spans="6:7" x14ac:dyDescent="0.3">
      <c r="F844" t="str">
        <v>impliedVolatility:</v>
      </c>
      <c r="G844">
        <v>1.3750031249999999</v>
      </c>
    </row>
    <row r="845" spans="6:7" x14ac:dyDescent="0.3">
      <c r="F845" t="str">
        <v>inTheMoney:</v>
      </c>
      <c r="G845" t="str">
        <v>false</v>
      </c>
    </row>
    <row r="846" spans="6:7" x14ac:dyDescent="0.3">
      <c r="F846" t="str">
        <v>contractSymbol:</v>
      </c>
      <c r="G846" t="str">
        <v>AAPL230609C00250000</v>
      </c>
    </row>
    <row r="847" spans="6:7" x14ac:dyDescent="0.3">
      <c r="F847" t="str">
        <v>strike:</v>
      </c>
      <c r="G847">
        <v>250</v>
      </c>
    </row>
    <row r="848" spans="6:7" x14ac:dyDescent="0.3">
      <c r="F848" t="str">
        <v>currency:</v>
      </c>
      <c r="G848" t="str">
        <v>USD</v>
      </c>
    </row>
    <row r="849" spans="6:7" x14ac:dyDescent="0.3">
      <c r="F849" t="str">
        <v>lastPrice:</v>
      </c>
      <c r="G849">
        <v>0.01</v>
      </c>
    </row>
    <row r="850" spans="6:7" x14ac:dyDescent="0.3">
      <c r="F850" t="str">
        <v>change:</v>
      </c>
      <c r="G850">
        <v>0</v>
      </c>
    </row>
    <row r="851" spans="6:7" x14ac:dyDescent="0.3">
      <c r="F851" t="str">
        <v>percentChange:</v>
      </c>
      <c r="G851">
        <v>0</v>
      </c>
    </row>
    <row r="852" spans="6:7" x14ac:dyDescent="0.3">
      <c r="F852" t="str">
        <v>volume:</v>
      </c>
      <c r="G852">
        <v>1</v>
      </c>
    </row>
    <row r="853" spans="6:7" x14ac:dyDescent="0.3">
      <c r="F853" t="str">
        <v>openInterest:</v>
      </c>
      <c r="G853">
        <v>22229</v>
      </c>
    </row>
    <row r="854" spans="6:7" x14ac:dyDescent="0.3">
      <c r="F854" t="str">
        <v>bid:</v>
      </c>
      <c r="G854">
        <v>0</v>
      </c>
    </row>
    <row r="855" spans="6:7" x14ac:dyDescent="0.3">
      <c r="F855" t="str">
        <v>ask:</v>
      </c>
      <c r="G855">
        <v>0.01</v>
      </c>
    </row>
    <row r="856" spans="6:7" x14ac:dyDescent="0.3">
      <c r="F856" t="str">
        <v>contractSize:</v>
      </c>
      <c r="G856" t="str">
        <v>REGULAR</v>
      </c>
    </row>
    <row r="857" spans="6:7" x14ac:dyDescent="0.3">
      <c r="F857" t="str">
        <v>expiration:</v>
      </c>
      <c r="G857">
        <v>1686268800</v>
      </c>
    </row>
    <row r="858" spans="6:7" x14ac:dyDescent="0.3">
      <c r="F858" t="str">
        <v>lastTradeDate:</v>
      </c>
      <c r="G858">
        <v>1686231005</v>
      </c>
    </row>
    <row r="859" spans="6:7" x14ac:dyDescent="0.3">
      <c r="F859" t="str">
        <v>impliedVolatility:</v>
      </c>
      <c r="G859">
        <v>1.4375028125</v>
      </c>
    </row>
    <row r="860" spans="6:7" x14ac:dyDescent="0.3">
      <c r="F860" t="str">
        <v>inTheMoney:</v>
      </c>
      <c r="G860" t="str">
        <v>false</v>
      </c>
    </row>
    <row r="861" spans="6:7" x14ac:dyDescent="0.3">
      <c r="F861" t="str">
        <v>contractSymbol:</v>
      </c>
      <c r="G861" t="str">
        <v>AAPL230609P00090000</v>
      </c>
    </row>
    <row r="862" spans="6:7" x14ac:dyDescent="0.3">
      <c r="F862" t="str">
        <v>strike:</v>
      </c>
      <c r="G862">
        <v>90</v>
      </c>
    </row>
    <row r="863" spans="6:7" x14ac:dyDescent="0.3">
      <c r="F863" t="str">
        <v>currency:</v>
      </c>
      <c r="G863" t="str">
        <v>USD</v>
      </c>
    </row>
    <row r="864" spans="6:7" x14ac:dyDescent="0.3">
      <c r="F864" t="str">
        <v>lastPrice:</v>
      </c>
      <c r="G864">
        <v>0.01</v>
      </c>
    </row>
    <row r="865" spans="6:7" x14ac:dyDescent="0.3">
      <c r="F865" t="str">
        <v>change:</v>
      </c>
      <c r="G865">
        <v>0</v>
      </c>
    </row>
    <row r="866" spans="6:7" x14ac:dyDescent="0.3">
      <c r="F866" t="str">
        <v>percentChange:</v>
      </c>
      <c r="G866">
        <v>0</v>
      </c>
    </row>
    <row r="867" spans="6:7" x14ac:dyDescent="0.3">
      <c r="F867" t="str">
        <v>volume:</v>
      </c>
      <c r="G867">
        <v>25</v>
      </c>
    </row>
    <row r="868" spans="6:7" x14ac:dyDescent="0.3">
      <c r="F868" t="str">
        <v>openInterest:</v>
      </c>
      <c r="G868">
        <v>159</v>
      </c>
    </row>
    <row r="869" spans="6:7" x14ac:dyDescent="0.3">
      <c r="F869" t="str">
        <v>bid:</v>
      </c>
      <c r="G869">
        <v>0</v>
      </c>
    </row>
    <row r="870" spans="6:7" x14ac:dyDescent="0.3">
      <c r="F870" t="str">
        <v>ask:</v>
      </c>
      <c r="G870">
        <v>0.01</v>
      </c>
    </row>
    <row r="871" spans="6:7" x14ac:dyDescent="0.3">
      <c r="F871" t="str">
        <v>contractSize:</v>
      </c>
      <c r="G871" t="str">
        <v>REGULAR</v>
      </c>
    </row>
    <row r="872" spans="6:7" x14ac:dyDescent="0.3">
      <c r="F872" t="str">
        <v>expiration:</v>
      </c>
      <c r="G872">
        <v>1686268800</v>
      </c>
    </row>
    <row r="873" spans="6:7" x14ac:dyDescent="0.3">
      <c r="F873" t="str">
        <v>lastTradeDate:</v>
      </c>
      <c r="G873">
        <v>1685714008</v>
      </c>
    </row>
    <row r="874" spans="6:7" x14ac:dyDescent="0.3">
      <c r="F874" t="str">
        <v>impliedVolatility:</v>
      </c>
      <c r="G874">
        <v>2.8750028125</v>
      </c>
    </row>
    <row r="875" spans="6:7" x14ac:dyDescent="0.3">
      <c r="F875" t="str">
        <v>inTheMoney:</v>
      </c>
      <c r="G875" t="str">
        <v>false</v>
      </c>
    </row>
    <row r="876" spans="6:7" x14ac:dyDescent="0.3">
      <c r="F876" t="str">
        <v>contractSymbol:</v>
      </c>
      <c r="G876" t="str">
        <v>AAPL230609P00095000</v>
      </c>
    </row>
    <row r="877" spans="6:7" x14ac:dyDescent="0.3">
      <c r="F877" t="str">
        <v>strike:</v>
      </c>
      <c r="G877">
        <v>95</v>
      </c>
    </row>
    <row r="878" spans="6:7" x14ac:dyDescent="0.3">
      <c r="F878" t="str">
        <v>currency:</v>
      </c>
      <c r="G878" t="str">
        <v>USD</v>
      </c>
    </row>
    <row r="879" spans="6:7" x14ac:dyDescent="0.3">
      <c r="F879" t="str">
        <v>lastPrice:</v>
      </c>
      <c r="G879">
        <v>0.01</v>
      </c>
    </row>
    <row r="880" spans="6:7" x14ac:dyDescent="0.3">
      <c r="F880" t="str">
        <v>change:</v>
      </c>
      <c r="G880">
        <v>0</v>
      </c>
    </row>
    <row r="881" spans="6:7" x14ac:dyDescent="0.3">
      <c r="F881" t="str">
        <v>percentChange:</v>
      </c>
      <c r="G881">
        <v>0</v>
      </c>
    </row>
    <row r="882" spans="6:7" x14ac:dyDescent="0.3">
      <c r="F882" t="str">
        <v>volume:</v>
      </c>
      <c r="G882">
        <v>3</v>
      </c>
    </row>
    <row r="883" spans="6:7" x14ac:dyDescent="0.3">
      <c r="F883" t="str">
        <v>openInterest:</v>
      </c>
      <c r="G883">
        <v>466</v>
      </c>
    </row>
    <row r="884" spans="6:7" x14ac:dyDescent="0.3">
      <c r="F884" t="str">
        <v>bid:</v>
      </c>
      <c r="G884">
        <v>0</v>
      </c>
    </row>
    <row r="885" spans="6:7" x14ac:dyDescent="0.3">
      <c r="F885" t="str">
        <v>ask:</v>
      </c>
      <c r="G885">
        <v>0.01</v>
      </c>
    </row>
    <row r="886" spans="6:7" x14ac:dyDescent="0.3">
      <c r="F886" t="str">
        <v>contractSize:</v>
      </c>
      <c r="G886" t="str">
        <v>REGULAR</v>
      </c>
    </row>
    <row r="887" spans="6:7" x14ac:dyDescent="0.3">
      <c r="F887" t="str">
        <v>expiration:</v>
      </c>
      <c r="G887">
        <v>1686268800</v>
      </c>
    </row>
    <row r="888" spans="6:7" x14ac:dyDescent="0.3">
      <c r="F888" t="str">
        <v>lastTradeDate:</v>
      </c>
      <c r="G888">
        <v>1684331565</v>
      </c>
    </row>
    <row r="889" spans="6:7" x14ac:dyDescent="0.3">
      <c r="F889" t="str">
        <v>impliedVolatility:</v>
      </c>
      <c r="G889">
        <v>2.6875032812500002</v>
      </c>
    </row>
    <row r="890" spans="6:7" x14ac:dyDescent="0.3">
      <c r="F890" t="str">
        <v>inTheMoney:</v>
      </c>
      <c r="G890" t="str">
        <v>false</v>
      </c>
    </row>
    <row r="891" spans="6:7" x14ac:dyDescent="0.3">
      <c r="F891" t="str">
        <v>contractSymbol:</v>
      </c>
      <c r="G891" t="str">
        <v>AAPL230609P00100000</v>
      </c>
    </row>
    <row r="892" spans="6:7" x14ac:dyDescent="0.3">
      <c r="F892" t="str">
        <v>strike:</v>
      </c>
      <c r="G892">
        <v>100</v>
      </c>
    </row>
    <row r="893" spans="6:7" x14ac:dyDescent="0.3">
      <c r="F893" t="str">
        <v>currency:</v>
      </c>
      <c r="G893" t="str">
        <v>USD</v>
      </c>
    </row>
    <row r="894" spans="6:7" x14ac:dyDescent="0.3">
      <c r="F894" t="str">
        <v>lastPrice:</v>
      </c>
      <c r="G894">
        <v>0.01</v>
      </c>
    </row>
    <row r="895" spans="6:7" x14ac:dyDescent="0.3">
      <c r="F895" t="str">
        <v>change:</v>
      </c>
      <c r="G895">
        <v>0</v>
      </c>
    </row>
    <row r="896" spans="6:7" x14ac:dyDescent="0.3">
      <c r="F896" t="str">
        <v>percentChange:</v>
      </c>
      <c r="G896">
        <v>0</v>
      </c>
    </row>
    <row r="897" spans="6:7" x14ac:dyDescent="0.3">
      <c r="F897" t="str">
        <v>volume:</v>
      </c>
      <c r="G897">
        <v>1</v>
      </c>
    </row>
    <row r="898" spans="6:7" x14ac:dyDescent="0.3">
      <c r="F898" t="str">
        <v>openInterest:</v>
      </c>
      <c r="G898">
        <v>86</v>
      </c>
    </row>
    <row r="899" spans="6:7" x14ac:dyDescent="0.3">
      <c r="F899" t="str">
        <v>bid:</v>
      </c>
      <c r="G899">
        <v>0</v>
      </c>
    </row>
    <row r="900" spans="6:7" x14ac:dyDescent="0.3">
      <c r="F900" t="str">
        <v>ask:</v>
      </c>
      <c r="G900">
        <v>0.01</v>
      </c>
    </row>
    <row r="901" spans="6:7" x14ac:dyDescent="0.3">
      <c r="F901" t="str">
        <v>contractSize:</v>
      </c>
      <c r="G901" t="str">
        <v>REGULAR</v>
      </c>
    </row>
    <row r="902" spans="6:7" x14ac:dyDescent="0.3">
      <c r="F902" t="str">
        <v>expiration:</v>
      </c>
      <c r="G902">
        <v>1686268800</v>
      </c>
    </row>
    <row r="903" spans="6:7" x14ac:dyDescent="0.3">
      <c r="F903" t="str">
        <v>lastTradeDate:</v>
      </c>
      <c r="G903">
        <v>1684951934</v>
      </c>
    </row>
    <row r="904" spans="6:7" x14ac:dyDescent="0.3">
      <c r="F904" t="str">
        <v>impliedVolatility:</v>
      </c>
      <c r="G904">
        <v>2.5000037499999999</v>
      </c>
    </row>
    <row r="905" spans="6:7" x14ac:dyDescent="0.3">
      <c r="F905" t="str">
        <v>inTheMoney:</v>
      </c>
      <c r="G905" t="str">
        <v>false</v>
      </c>
    </row>
    <row r="906" spans="6:7" x14ac:dyDescent="0.3">
      <c r="F906" t="str">
        <v>contractSymbol:</v>
      </c>
      <c r="G906" t="str">
        <v>AAPL230609P00105000</v>
      </c>
    </row>
    <row r="907" spans="6:7" x14ac:dyDescent="0.3">
      <c r="F907" t="str">
        <v>strike:</v>
      </c>
      <c r="G907">
        <v>105</v>
      </c>
    </row>
    <row r="908" spans="6:7" x14ac:dyDescent="0.3">
      <c r="F908" t="str">
        <v>currency:</v>
      </c>
      <c r="G908" t="str">
        <v>USD</v>
      </c>
    </row>
    <row r="909" spans="6:7" x14ac:dyDescent="0.3">
      <c r="F909" t="str">
        <v>lastPrice:</v>
      </c>
      <c r="G909">
        <v>0.01</v>
      </c>
    </row>
    <row r="910" spans="6:7" x14ac:dyDescent="0.3">
      <c r="F910" t="str">
        <v>change:</v>
      </c>
      <c r="G910">
        <v>0</v>
      </c>
    </row>
    <row r="911" spans="6:7" x14ac:dyDescent="0.3">
      <c r="F911" t="str">
        <v>percentChange:</v>
      </c>
      <c r="G911">
        <v>0</v>
      </c>
    </row>
    <row r="912" spans="6:7" x14ac:dyDescent="0.3">
      <c r="F912" t="str">
        <v>volume:</v>
      </c>
      <c r="G912">
        <v>125</v>
      </c>
    </row>
    <row r="913" spans="6:7" x14ac:dyDescent="0.3">
      <c r="F913" t="str">
        <v>openInterest:</v>
      </c>
      <c r="G913">
        <v>187</v>
      </c>
    </row>
    <row r="914" spans="6:7" x14ac:dyDescent="0.3">
      <c r="F914" t="str">
        <v>bid:</v>
      </c>
      <c r="G914">
        <v>0</v>
      </c>
    </row>
    <row r="915" spans="6:7" x14ac:dyDescent="0.3">
      <c r="F915" t="str">
        <v>ask:</v>
      </c>
      <c r="G915">
        <v>0.01</v>
      </c>
    </row>
    <row r="916" spans="6:7" x14ac:dyDescent="0.3">
      <c r="F916" t="str">
        <v>contractSize:</v>
      </c>
      <c r="G916" t="str">
        <v>REGULAR</v>
      </c>
    </row>
    <row r="917" spans="6:7" x14ac:dyDescent="0.3">
      <c r="F917" t="str">
        <v>expiration:</v>
      </c>
      <c r="G917">
        <v>1686268800</v>
      </c>
    </row>
    <row r="918" spans="6:7" x14ac:dyDescent="0.3">
      <c r="F918" t="str">
        <v>lastTradeDate:</v>
      </c>
      <c r="G918">
        <v>1684951127</v>
      </c>
    </row>
    <row r="919" spans="6:7" x14ac:dyDescent="0.3">
      <c r="F919" t="str">
        <v>impliedVolatility:</v>
      </c>
      <c r="G919">
        <v>2.2500043749999996</v>
      </c>
    </row>
    <row r="920" spans="6:7" x14ac:dyDescent="0.3">
      <c r="F920" t="str">
        <v>inTheMoney:</v>
      </c>
      <c r="G920" t="str">
        <v>false</v>
      </c>
    </row>
    <row r="921" spans="6:7" x14ac:dyDescent="0.3">
      <c r="F921" t="str">
        <v>contractSymbol:</v>
      </c>
      <c r="G921" t="str">
        <v>AAPL230609P00110000</v>
      </c>
    </row>
    <row r="922" spans="6:7" x14ac:dyDescent="0.3">
      <c r="F922" t="str">
        <v>strike:</v>
      </c>
      <c r="G922">
        <v>110</v>
      </c>
    </row>
    <row r="923" spans="6:7" x14ac:dyDescent="0.3">
      <c r="F923" t="str">
        <v>currency:</v>
      </c>
      <c r="G923" t="str">
        <v>USD</v>
      </c>
    </row>
    <row r="924" spans="6:7" x14ac:dyDescent="0.3">
      <c r="F924" t="str">
        <v>lastPrice:</v>
      </c>
      <c r="G924">
        <v>0.01</v>
      </c>
    </row>
    <row r="925" spans="6:7" x14ac:dyDescent="0.3">
      <c r="F925" t="str">
        <v>change:</v>
      </c>
      <c r="G925">
        <v>0</v>
      </c>
    </row>
    <row r="926" spans="6:7" x14ac:dyDescent="0.3">
      <c r="F926" t="str">
        <v>percentChange:</v>
      </c>
      <c r="G926">
        <v>0</v>
      </c>
    </row>
    <row r="927" spans="6:7" x14ac:dyDescent="0.3">
      <c r="F927" t="str">
        <v>volume:</v>
      </c>
      <c r="G927">
        <v>5</v>
      </c>
    </row>
    <row r="928" spans="6:7" x14ac:dyDescent="0.3">
      <c r="F928" t="str">
        <v>openInterest:</v>
      </c>
      <c r="G928">
        <v>136</v>
      </c>
    </row>
    <row r="929" spans="6:7" x14ac:dyDescent="0.3">
      <c r="F929" t="str">
        <v>bid:</v>
      </c>
      <c r="G929">
        <v>0</v>
      </c>
    </row>
    <row r="930" spans="6:7" x14ac:dyDescent="0.3">
      <c r="F930" t="str">
        <v>ask:</v>
      </c>
      <c r="G930">
        <v>0.01</v>
      </c>
    </row>
    <row r="931" spans="6:7" x14ac:dyDescent="0.3">
      <c r="F931" t="str">
        <v>contractSize:</v>
      </c>
      <c r="G931" t="str">
        <v>REGULAR</v>
      </c>
    </row>
    <row r="932" spans="6:7" x14ac:dyDescent="0.3">
      <c r="F932" t="str">
        <v>expiration:</v>
      </c>
      <c r="G932">
        <v>1686268800</v>
      </c>
    </row>
    <row r="933" spans="6:7" x14ac:dyDescent="0.3">
      <c r="F933" t="str">
        <v>lastTradeDate:</v>
      </c>
      <c r="G933">
        <v>1685543382</v>
      </c>
    </row>
    <row r="934" spans="6:7" x14ac:dyDescent="0.3">
      <c r="F934" t="str">
        <v>impliedVolatility:</v>
      </c>
      <c r="G934">
        <v>2.0625048437499998</v>
      </c>
    </row>
    <row r="935" spans="6:7" x14ac:dyDescent="0.3">
      <c r="F935" t="str">
        <v>inTheMoney:</v>
      </c>
      <c r="G935" t="str">
        <v>false</v>
      </c>
    </row>
    <row r="936" spans="6:7" x14ac:dyDescent="0.3">
      <c r="F936" t="str">
        <v>contractSymbol:</v>
      </c>
      <c r="G936" t="str">
        <v>AAPL230609P00115000</v>
      </c>
    </row>
    <row r="937" spans="6:7" x14ac:dyDescent="0.3">
      <c r="F937" t="str">
        <v>strike:</v>
      </c>
      <c r="G937">
        <v>115</v>
      </c>
    </row>
    <row r="938" spans="6:7" x14ac:dyDescent="0.3">
      <c r="F938" t="str">
        <v>currency:</v>
      </c>
      <c r="G938" t="str">
        <v>USD</v>
      </c>
    </row>
    <row r="939" spans="6:7" x14ac:dyDescent="0.3">
      <c r="F939" t="str">
        <v>lastPrice:</v>
      </c>
      <c r="G939">
        <v>0.01</v>
      </c>
    </row>
    <row r="940" spans="6:7" x14ac:dyDescent="0.3">
      <c r="F940" t="str">
        <v>change:</v>
      </c>
      <c r="G940">
        <v>0</v>
      </c>
    </row>
    <row r="941" spans="6:7" x14ac:dyDescent="0.3">
      <c r="F941" t="str">
        <v>percentChange:</v>
      </c>
      <c r="G941">
        <v>0</v>
      </c>
    </row>
    <row r="942" spans="6:7" x14ac:dyDescent="0.3">
      <c r="F942" t="str">
        <v>volume:</v>
      </c>
      <c r="G942">
        <v>1</v>
      </c>
    </row>
    <row r="943" spans="6:7" x14ac:dyDescent="0.3">
      <c r="F943" t="str">
        <v>openInterest:</v>
      </c>
      <c r="G943">
        <v>447</v>
      </c>
    </row>
    <row r="944" spans="6:7" x14ac:dyDescent="0.3">
      <c r="F944" t="str">
        <v>bid:</v>
      </c>
      <c r="G944">
        <v>0</v>
      </c>
    </row>
    <row r="945" spans="6:7" x14ac:dyDescent="0.3">
      <c r="F945" t="str">
        <v>ask:</v>
      </c>
      <c r="G945">
        <v>0.01</v>
      </c>
    </row>
    <row r="946" spans="6:7" x14ac:dyDescent="0.3">
      <c r="F946" t="str">
        <v>contractSize:</v>
      </c>
      <c r="G946" t="str">
        <v>REGULAR</v>
      </c>
    </row>
    <row r="947" spans="6:7" x14ac:dyDescent="0.3">
      <c r="F947" t="str">
        <v>expiration:</v>
      </c>
      <c r="G947">
        <v>1686268800</v>
      </c>
    </row>
    <row r="948" spans="6:7" x14ac:dyDescent="0.3">
      <c r="F948" t="str">
        <v>lastTradeDate:</v>
      </c>
      <c r="G948">
        <v>1685992244</v>
      </c>
    </row>
    <row r="949" spans="6:7" x14ac:dyDescent="0.3">
      <c r="F949" t="str">
        <v>impliedVolatility:</v>
      </c>
      <c r="G949">
        <v>1.875000625</v>
      </c>
    </row>
    <row r="950" spans="6:7" x14ac:dyDescent="0.3">
      <c r="F950" t="str">
        <v>inTheMoney:</v>
      </c>
      <c r="G950" t="str">
        <v>false</v>
      </c>
    </row>
    <row r="951" spans="6:7" x14ac:dyDescent="0.3">
      <c r="F951" t="str">
        <v>contractSymbol:</v>
      </c>
      <c r="G951" t="str">
        <v>AAPL230609P00120000</v>
      </c>
    </row>
    <row r="952" spans="6:7" x14ac:dyDescent="0.3">
      <c r="F952" t="str">
        <v>strike:</v>
      </c>
      <c r="G952">
        <v>120</v>
      </c>
    </row>
    <row r="953" spans="6:7" x14ac:dyDescent="0.3">
      <c r="F953" t="str">
        <v>currency:</v>
      </c>
      <c r="G953" t="str">
        <v>USD</v>
      </c>
    </row>
    <row r="954" spans="6:7" x14ac:dyDescent="0.3">
      <c r="F954" t="str">
        <v>lastPrice:</v>
      </c>
      <c r="G954">
        <v>0.01</v>
      </c>
    </row>
    <row r="955" spans="6:7" x14ac:dyDescent="0.3">
      <c r="F955" t="str">
        <v>change:</v>
      </c>
      <c r="G955">
        <v>0</v>
      </c>
    </row>
    <row r="956" spans="6:7" x14ac:dyDescent="0.3">
      <c r="F956" t="str">
        <v>percentChange:</v>
      </c>
      <c r="G956">
        <v>0</v>
      </c>
    </row>
    <row r="957" spans="6:7" x14ac:dyDescent="0.3">
      <c r="F957" t="str">
        <v>volume:</v>
      </c>
      <c r="G957">
        <v>348</v>
      </c>
    </row>
    <row r="958" spans="6:7" x14ac:dyDescent="0.3">
      <c r="F958" t="str">
        <v>openInterest:</v>
      </c>
      <c r="G958">
        <v>828</v>
      </c>
    </row>
    <row r="959" spans="6:7" x14ac:dyDescent="0.3">
      <c r="F959" t="str">
        <v>bid:</v>
      </c>
      <c r="G959">
        <v>0</v>
      </c>
    </row>
    <row r="960" spans="6:7" x14ac:dyDescent="0.3">
      <c r="F960" t="str">
        <v>ask:</v>
      </c>
      <c r="G960">
        <v>0.01</v>
      </c>
    </row>
    <row r="961" spans="6:7" x14ac:dyDescent="0.3">
      <c r="F961" t="str">
        <v>contractSize:</v>
      </c>
      <c r="G961" t="str">
        <v>REGULAR</v>
      </c>
    </row>
    <row r="962" spans="6:7" x14ac:dyDescent="0.3">
      <c r="F962" t="str">
        <v>expiration:</v>
      </c>
      <c r="G962">
        <v>1686268800</v>
      </c>
    </row>
    <row r="963" spans="6:7" x14ac:dyDescent="0.3">
      <c r="F963" t="str">
        <v>lastTradeDate:</v>
      </c>
      <c r="G963">
        <v>1685646933</v>
      </c>
    </row>
    <row r="964" spans="6:7" x14ac:dyDescent="0.3">
      <c r="F964" t="str">
        <v>impliedVolatility:</v>
      </c>
      <c r="G964">
        <v>1.75000125</v>
      </c>
    </row>
    <row r="965" spans="6:7" x14ac:dyDescent="0.3">
      <c r="F965" t="str">
        <v>inTheMoney:</v>
      </c>
      <c r="G965" t="str">
        <v>false</v>
      </c>
    </row>
    <row r="966" spans="6:7" x14ac:dyDescent="0.3">
      <c r="F966" t="str">
        <v>contractSymbol:</v>
      </c>
      <c r="G966" t="str">
        <v>AAPL230609P00125000</v>
      </c>
    </row>
    <row r="967" spans="6:7" x14ac:dyDescent="0.3">
      <c r="F967" t="str">
        <v>strike:</v>
      </c>
      <c r="G967">
        <v>125</v>
      </c>
    </row>
    <row r="968" spans="6:7" x14ac:dyDescent="0.3">
      <c r="F968" t="str">
        <v>currency:</v>
      </c>
      <c r="G968" t="str">
        <v>USD</v>
      </c>
    </row>
    <row r="969" spans="6:7" x14ac:dyDescent="0.3">
      <c r="F969" t="str">
        <v>lastPrice:</v>
      </c>
      <c r="G969">
        <v>0.01</v>
      </c>
    </row>
    <row r="970" spans="6:7" x14ac:dyDescent="0.3">
      <c r="F970" t="str">
        <v>change:</v>
      </c>
      <c r="G970">
        <v>0</v>
      </c>
    </row>
    <row r="971" spans="6:7" x14ac:dyDescent="0.3">
      <c r="F971" t="str">
        <v>percentChange:</v>
      </c>
      <c r="G971">
        <v>0</v>
      </c>
    </row>
    <row r="972" spans="6:7" x14ac:dyDescent="0.3">
      <c r="F972" t="str">
        <v>volume:</v>
      </c>
      <c r="G972">
        <v>1</v>
      </c>
    </row>
    <row r="973" spans="6:7" x14ac:dyDescent="0.3">
      <c r="F973" t="str">
        <v>openInterest:</v>
      </c>
      <c r="G973">
        <v>909</v>
      </c>
    </row>
    <row r="974" spans="6:7" x14ac:dyDescent="0.3">
      <c r="F974" t="str">
        <v>bid:</v>
      </c>
      <c r="G974">
        <v>0</v>
      </c>
    </row>
    <row r="975" spans="6:7" x14ac:dyDescent="0.3">
      <c r="F975" t="str">
        <v>ask:</v>
      </c>
      <c r="G975">
        <v>0.01</v>
      </c>
    </row>
    <row r="976" spans="6:7" x14ac:dyDescent="0.3">
      <c r="F976" t="str">
        <v>contractSize:</v>
      </c>
      <c r="G976" t="str">
        <v>REGULAR</v>
      </c>
    </row>
    <row r="977" spans="6:7" x14ac:dyDescent="0.3">
      <c r="F977" t="str">
        <v>expiration:</v>
      </c>
      <c r="G977">
        <v>1686268800</v>
      </c>
    </row>
    <row r="978" spans="6:7" x14ac:dyDescent="0.3">
      <c r="F978" t="str">
        <v>lastTradeDate:</v>
      </c>
      <c r="G978">
        <v>1685995197</v>
      </c>
    </row>
    <row r="979" spans="6:7" x14ac:dyDescent="0.3">
      <c r="F979" t="str">
        <v>impliedVolatility:</v>
      </c>
      <c r="G979">
        <v>1.5625021874999998</v>
      </c>
    </row>
    <row r="980" spans="6:7" x14ac:dyDescent="0.3">
      <c r="F980" t="str">
        <v>inTheMoney:</v>
      </c>
      <c r="G980" t="str">
        <v>false</v>
      </c>
    </row>
    <row r="981" spans="6:7" x14ac:dyDescent="0.3">
      <c r="F981" t="str">
        <v>contractSymbol:</v>
      </c>
      <c r="G981" t="str">
        <v>AAPL230609P00130000</v>
      </c>
    </row>
    <row r="982" spans="6:7" x14ac:dyDescent="0.3">
      <c r="F982" t="str">
        <v>strike:</v>
      </c>
      <c r="G982">
        <v>130</v>
      </c>
    </row>
    <row r="983" spans="6:7" x14ac:dyDescent="0.3">
      <c r="F983" t="str">
        <v>currency:</v>
      </c>
      <c r="G983" t="str">
        <v>USD</v>
      </c>
    </row>
    <row r="984" spans="6:7" x14ac:dyDescent="0.3">
      <c r="F984" t="str">
        <v>lastPrice:</v>
      </c>
      <c r="G984">
        <v>0.01</v>
      </c>
    </row>
    <row r="985" spans="6:7" x14ac:dyDescent="0.3">
      <c r="F985" t="str">
        <v>change:</v>
      </c>
      <c r="G985">
        <v>0</v>
      </c>
    </row>
    <row r="986" spans="6:7" x14ac:dyDescent="0.3">
      <c r="F986" t="str">
        <v>percentChange:</v>
      </c>
      <c r="G986">
        <v>0</v>
      </c>
    </row>
    <row r="987" spans="6:7" x14ac:dyDescent="0.3">
      <c r="F987" t="str">
        <v>volume:</v>
      </c>
      <c r="G987">
        <v>1</v>
      </c>
    </row>
    <row r="988" spans="6:7" x14ac:dyDescent="0.3">
      <c r="F988" t="str">
        <v>openInterest:</v>
      </c>
      <c r="G988">
        <v>1239</v>
      </c>
    </row>
    <row r="989" spans="6:7" x14ac:dyDescent="0.3">
      <c r="F989" t="str">
        <v>bid:</v>
      </c>
      <c r="G989">
        <v>0</v>
      </c>
    </row>
    <row r="990" spans="6:7" x14ac:dyDescent="0.3">
      <c r="F990" t="str">
        <v>ask:</v>
      </c>
      <c r="G990">
        <v>0.01</v>
      </c>
    </row>
    <row r="991" spans="6:7" x14ac:dyDescent="0.3">
      <c r="F991" t="str">
        <v>contractSize:</v>
      </c>
      <c r="G991" t="str">
        <v>REGULAR</v>
      </c>
    </row>
    <row r="992" spans="6:7" x14ac:dyDescent="0.3">
      <c r="F992" t="str">
        <v>expiration:</v>
      </c>
      <c r="G992">
        <v>1686268800</v>
      </c>
    </row>
    <row r="993" spans="6:7" x14ac:dyDescent="0.3">
      <c r="F993" t="str">
        <v>lastTradeDate:</v>
      </c>
      <c r="G993">
        <v>1685990095</v>
      </c>
    </row>
    <row r="994" spans="6:7" x14ac:dyDescent="0.3">
      <c r="F994" t="str">
        <v>impliedVolatility:</v>
      </c>
      <c r="G994">
        <v>1.4062529687500001</v>
      </c>
    </row>
    <row r="995" spans="6:7" x14ac:dyDescent="0.3">
      <c r="F995" t="str">
        <v>inTheMoney:</v>
      </c>
      <c r="G995" t="str">
        <v>false</v>
      </c>
    </row>
    <row r="996" spans="6:7" x14ac:dyDescent="0.3">
      <c r="F996" t="str">
        <v>contractSymbol:</v>
      </c>
      <c r="G996" t="str">
        <v>AAPL230609P00135000</v>
      </c>
    </row>
    <row r="997" spans="6:7" x14ac:dyDescent="0.3">
      <c r="F997" t="str">
        <v>strike:</v>
      </c>
      <c r="G997">
        <v>135</v>
      </c>
    </row>
    <row r="998" spans="6:7" x14ac:dyDescent="0.3">
      <c r="F998" t="str">
        <v>currency:</v>
      </c>
      <c r="G998" t="str">
        <v>USD</v>
      </c>
    </row>
    <row r="999" spans="6:7" x14ac:dyDescent="0.3">
      <c r="F999" t="str">
        <v>lastPrice:</v>
      </c>
      <c r="G999">
        <v>0.01</v>
      </c>
    </row>
    <row r="1000" spans="6:7" x14ac:dyDescent="0.3">
      <c r="F1000" t="str">
        <v>change:</v>
      </c>
      <c r="G1000">
        <v>0</v>
      </c>
    </row>
    <row r="1001" spans="6:7" x14ac:dyDescent="0.3">
      <c r="F1001" t="str">
        <v>percentChange:</v>
      </c>
      <c r="G1001">
        <v>0</v>
      </c>
    </row>
    <row r="1002" spans="6:7" x14ac:dyDescent="0.3">
      <c r="F1002" t="str">
        <v>volume:</v>
      </c>
      <c r="G1002">
        <v>1</v>
      </c>
    </row>
    <row r="1003" spans="6:7" x14ac:dyDescent="0.3">
      <c r="F1003" t="str">
        <v>openInterest:</v>
      </c>
      <c r="G1003">
        <v>1350</v>
      </c>
    </row>
    <row r="1004" spans="6:7" x14ac:dyDescent="0.3">
      <c r="F1004" t="str">
        <v>bid:</v>
      </c>
      <c r="G1004">
        <v>0</v>
      </c>
    </row>
    <row r="1005" spans="6:7" x14ac:dyDescent="0.3">
      <c r="F1005" t="str">
        <v>ask:</v>
      </c>
      <c r="G1005">
        <v>0.01</v>
      </c>
    </row>
    <row r="1006" spans="6:7" x14ac:dyDescent="0.3">
      <c r="F1006" t="str">
        <v>contractSize:</v>
      </c>
      <c r="G1006" t="str">
        <v>REGULAR</v>
      </c>
    </row>
    <row r="1007" spans="6:7" x14ac:dyDescent="0.3">
      <c r="F1007" t="str">
        <v>expiration:</v>
      </c>
      <c r="G1007">
        <v>1686268800</v>
      </c>
    </row>
    <row r="1008" spans="6:7" x14ac:dyDescent="0.3">
      <c r="F1008" t="str">
        <v>lastTradeDate:</v>
      </c>
      <c r="G1008">
        <v>1685990049</v>
      </c>
    </row>
    <row r="1009" spans="6:7" x14ac:dyDescent="0.3">
      <c r="F1009" t="str">
        <v>impliedVolatility:</v>
      </c>
      <c r="G1009">
        <v>1.2500037499999999</v>
      </c>
    </row>
    <row r="1010" spans="6:7" x14ac:dyDescent="0.3">
      <c r="F1010" t="str">
        <v>inTheMoney:</v>
      </c>
      <c r="G1010" t="str">
        <v>false</v>
      </c>
    </row>
    <row r="1011" spans="6:7" x14ac:dyDescent="0.3">
      <c r="F1011" t="str">
        <v>contractSymbol:</v>
      </c>
      <c r="G1011" t="str">
        <v>AAPL230609P00140000</v>
      </c>
    </row>
    <row r="1012" spans="6:7" x14ac:dyDescent="0.3">
      <c r="F1012" t="str">
        <v>strike:</v>
      </c>
      <c r="G1012">
        <v>140</v>
      </c>
    </row>
    <row r="1013" spans="6:7" x14ac:dyDescent="0.3">
      <c r="F1013" t="str">
        <v>currency:</v>
      </c>
      <c r="G1013" t="str">
        <v>USD</v>
      </c>
    </row>
    <row r="1014" spans="6:7" x14ac:dyDescent="0.3">
      <c r="F1014" t="str">
        <v>lastPrice:</v>
      </c>
      <c r="G1014">
        <v>0.01</v>
      </c>
    </row>
    <row r="1015" spans="6:7" x14ac:dyDescent="0.3">
      <c r="F1015" t="str">
        <v>change:</v>
      </c>
      <c r="G1015">
        <v>0</v>
      </c>
    </row>
    <row r="1016" spans="6:7" x14ac:dyDescent="0.3">
      <c r="F1016" t="str">
        <v>percentChange:</v>
      </c>
      <c r="G1016">
        <v>0</v>
      </c>
    </row>
    <row r="1017" spans="6:7" x14ac:dyDescent="0.3">
      <c r="F1017" t="str">
        <v>volume:</v>
      </c>
      <c r="G1017">
        <v>2</v>
      </c>
    </row>
    <row r="1018" spans="6:7" x14ac:dyDescent="0.3">
      <c r="F1018" t="str">
        <v>openInterest:</v>
      </c>
      <c r="G1018">
        <v>1266</v>
      </c>
    </row>
    <row r="1019" spans="6:7" x14ac:dyDescent="0.3">
      <c r="F1019" t="str">
        <v>bid:</v>
      </c>
      <c r="G1019">
        <v>0</v>
      </c>
    </row>
    <row r="1020" spans="6:7" x14ac:dyDescent="0.3">
      <c r="F1020" t="str">
        <v>ask:</v>
      </c>
      <c r="G1020">
        <v>0.01</v>
      </c>
    </row>
    <row r="1021" spans="6:7" x14ac:dyDescent="0.3">
      <c r="F1021" t="str">
        <v>contractSize:</v>
      </c>
      <c r="G1021" t="str">
        <v>REGULAR</v>
      </c>
    </row>
    <row r="1022" spans="6:7" x14ac:dyDescent="0.3">
      <c r="F1022" t="str">
        <v>expiration:</v>
      </c>
      <c r="G1022">
        <v>1686268800</v>
      </c>
    </row>
    <row r="1023" spans="6:7" x14ac:dyDescent="0.3">
      <c r="F1023" t="str">
        <v>lastTradeDate:</v>
      </c>
      <c r="G1023">
        <v>1686144600</v>
      </c>
    </row>
    <row r="1024" spans="6:7" x14ac:dyDescent="0.3">
      <c r="F1024" t="str">
        <v>impliedVolatility:</v>
      </c>
      <c r="G1024">
        <v>1.0937545312500001</v>
      </c>
    </row>
    <row r="1025" spans="6:7" x14ac:dyDescent="0.3">
      <c r="F1025" t="str">
        <v>inTheMoney:</v>
      </c>
      <c r="G1025" t="str">
        <v>false</v>
      </c>
    </row>
    <row r="1026" spans="6:7" x14ac:dyDescent="0.3">
      <c r="F1026" t="str">
        <v>contractSymbol:</v>
      </c>
      <c r="G1026" t="str">
        <v>AAPL230609P00145000</v>
      </c>
    </row>
    <row r="1027" spans="6:7" x14ac:dyDescent="0.3">
      <c r="F1027" t="str">
        <v>strike:</v>
      </c>
      <c r="G1027">
        <v>145</v>
      </c>
    </row>
    <row r="1028" spans="6:7" x14ac:dyDescent="0.3">
      <c r="F1028" t="str">
        <v>currency:</v>
      </c>
      <c r="G1028" t="str">
        <v>USD</v>
      </c>
    </row>
    <row r="1029" spans="6:7" x14ac:dyDescent="0.3">
      <c r="F1029" t="str">
        <v>lastPrice:</v>
      </c>
      <c r="G1029">
        <v>0.01</v>
      </c>
    </row>
    <row r="1030" spans="6:7" x14ac:dyDescent="0.3">
      <c r="F1030" t="str">
        <v>change:</v>
      </c>
      <c r="G1030">
        <v>0</v>
      </c>
    </row>
    <row r="1031" spans="6:7" x14ac:dyDescent="0.3">
      <c r="F1031" t="str">
        <v>percentChange:</v>
      </c>
      <c r="G1031">
        <v>0</v>
      </c>
    </row>
    <row r="1032" spans="6:7" x14ac:dyDescent="0.3">
      <c r="F1032" t="str">
        <v>volume:</v>
      </c>
      <c r="G1032">
        <v>3</v>
      </c>
    </row>
    <row r="1033" spans="6:7" x14ac:dyDescent="0.3">
      <c r="F1033" t="str">
        <v>openInterest:</v>
      </c>
      <c r="G1033">
        <v>2144</v>
      </c>
    </row>
    <row r="1034" spans="6:7" x14ac:dyDescent="0.3">
      <c r="F1034" t="str">
        <v>bid:</v>
      </c>
      <c r="G1034">
        <v>0</v>
      </c>
    </row>
    <row r="1035" spans="6:7" x14ac:dyDescent="0.3">
      <c r="F1035" t="str">
        <v>ask:</v>
      </c>
      <c r="G1035">
        <v>0.01</v>
      </c>
    </row>
    <row r="1036" spans="6:7" x14ac:dyDescent="0.3">
      <c r="F1036" t="str">
        <v>contractSize:</v>
      </c>
      <c r="G1036" t="str">
        <v>REGULAR</v>
      </c>
    </row>
    <row r="1037" spans="6:7" x14ac:dyDescent="0.3">
      <c r="F1037" t="str">
        <v>expiration:</v>
      </c>
      <c r="G1037">
        <v>1686268800</v>
      </c>
    </row>
    <row r="1038" spans="6:7" x14ac:dyDescent="0.3">
      <c r="F1038" t="str">
        <v>lastTradeDate:</v>
      </c>
      <c r="G1038">
        <v>1686153825</v>
      </c>
    </row>
    <row r="1039" spans="6:7" x14ac:dyDescent="0.3">
      <c r="F1039" t="str">
        <v>impliedVolatility:</v>
      </c>
      <c r="G1039">
        <v>0.93750062499999998</v>
      </c>
    </row>
    <row r="1040" spans="6:7" x14ac:dyDescent="0.3">
      <c r="F1040" t="str">
        <v>inTheMoney:</v>
      </c>
      <c r="G1040" t="str">
        <v>false</v>
      </c>
    </row>
    <row r="1041" spans="6:7" x14ac:dyDescent="0.3">
      <c r="F1041" t="str">
        <v>contractSymbol:</v>
      </c>
      <c r="G1041" t="str">
        <v>AAPL230609P00147000</v>
      </c>
    </row>
    <row r="1042" spans="6:7" x14ac:dyDescent="0.3">
      <c r="F1042" t="str">
        <v>strike:</v>
      </c>
      <c r="G1042">
        <v>147</v>
      </c>
    </row>
    <row r="1043" spans="6:7" x14ac:dyDescent="0.3">
      <c r="F1043" t="str">
        <v>currency:</v>
      </c>
      <c r="G1043" t="str">
        <v>USD</v>
      </c>
    </row>
    <row r="1044" spans="6:7" x14ac:dyDescent="0.3">
      <c r="F1044" t="str">
        <v>lastPrice:</v>
      </c>
      <c r="G1044">
        <v>0.01</v>
      </c>
    </row>
    <row r="1045" spans="6:7" x14ac:dyDescent="0.3">
      <c r="F1045" t="str">
        <v>change:</v>
      </c>
      <c r="G1045">
        <v>0</v>
      </c>
    </row>
    <row r="1046" spans="6:7" x14ac:dyDescent="0.3">
      <c r="F1046" t="str">
        <v>percentChange:</v>
      </c>
      <c r="G1046">
        <v>0</v>
      </c>
    </row>
    <row r="1047" spans="6:7" x14ac:dyDescent="0.3">
      <c r="F1047" t="str">
        <v>volume:</v>
      </c>
      <c r="G1047">
        <v>1</v>
      </c>
    </row>
    <row r="1048" spans="6:7" x14ac:dyDescent="0.3">
      <c r="F1048" t="str">
        <v>openInterest:</v>
      </c>
      <c r="G1048">
        <v>670</v>
      </c>
    </row>
    <row r="1049" spans="6:7" x14ac:dyDescent="0.3">
      <c r="F1049" t="str">
        <v>bid:</v>
      </c>
      <c r="G1049">
        <v>0</v>
      </c>
    </row>
    <row r="1050" spans="6:7" x14ac:dyDescent="0.3">
      <c r="F1050" t="str">
        <v>ask:</v>
      </c>
      <c r="G1050">
        <v>0.01</v>
      </c>
    </row>
    <row r="1051" spans="6:7" x14ac:dyDescent="0.3">
      <c r="F1051" t="str">
        <v>contractSize:</v>
      </c>
      <c r="G1051" t="str">
        <v>REGULAR</v>
      </c>
    </row>
    <row r="1052" spans="6:7" x14ac:dyDescent="0.3">
      <c r="F1052" t="str">
        <v>expiration:</v>
      </c>
      <c r="G1052">
        <v>1686268800</v>
      </c>
    </row>
    <row r="1053" spans="6:7" x14ac:dyDescent="0.3">
      <c r="F1053" t="str">
        <v>lastTradeDate:</v>
      </c>
      <c r="G1053">
        <v>1686068426</v>
      </c>
    </row>
    <row r="1054" spans="6:7" x14ac:dyDescent="0.3">
      <c r="F1054" t="str">
        <v>impliedVolatility:</v>
      </c>
      <c r="G1054">
        <v>0.90625093749999996</v>
      </c>
    </row>
    <row r="1055" spans="6:7" x14ac:dyDescent="0.3">
      <c r="F1055" t="str">
        <v>inTheMoney:</v>
      </c>
      <c r="G1055" t="str">
        <v>false</v>
      </c>
    </row>
    <row r="1056" spans="6:7" x14ac:dyDescent="0.3">
      <c r="F1056" t="str">
        <v>contractSymbol:</v>
      </c>
      <c r="G1056" t="str">
        <v>AAPL230609P00148000</v>
      </c>
    </row>
    <row r="1057" spans="6:7" x14ac:dyDescent="0.3">
      <c r="F1057" t="str">
        <v>strike:</v>
      </c>
      <c r="G1057">
        <v>148</v>
      </c>
    </row>
    <row r="1058" spans="6:7" x14ac:dyDescent="0.3">
      <c r="F1058" t="str">
        <v>currency:</v>
      </c>
      <c r="G1058" t="str">
        <v>USD</v>
      </c>
    </row>
    <row r="1059" spans="6:7" x14ac:dyDescent="0.3">
      <c r="F1059" t="str">
        <v>lastPrice:</v>
      </c>
      <c r="G1059">
        <v>0.01</v>
      </c>
    </row>
    <row r="1060" spans="6:7" x14ac:dyDescent="0.3">
      <c r="F1060" t="str">
        <v>change:</v>
      </c>
      <c r="G1060">
        <v>0</v>
      </c>
    </row>
    <row r="1061" spans="6:7" x14ac:dyDescent="0.3">
      <c r="F1061" t="str">
        <v>percentChange:</v>
      </c>
      <c r="G1061">
        <v>0</v>
      </c>
    </row>
    <row r="1062" spans="6:7" x14ac:dyDescent="0.3">
      <c r="F1062" t="str">
        <v>volume:</v>
      </c>
      <c r="G1062">
        <v>1</v>
      </c>
    </row>
    <row r="1063" spans="6:7" x14ac:dyDescent="0.3">
      <c r="F1063" t="str">
        <v>openInterest:</v>
      </c>
      <c r="G1063">
        <v>508</v>
      </c>
    </row>
    <row r="1064" spans="6:7" x14ac:dyDescent="0.3">
      <c r="F1064" t="str">
        <v>bid:</v>
      </c>
      <c r="G1064">
        <v>0</v>
      </c>
    </row>
    <row r="1065" spans="6:7" x14ac:dyDescent="0.3">
      <c r="F1065" t="str">
        <v>ask:</v>
      </c>
      <c r="G1065">
        <v>0.01</v>
      </c>
    </row>
    <row r="1066" spans="6:7" x14ac:dyDescent="0.3">
      <c r="F1066" t="str">
        <v>contractSize:</v>
      </c>
      <c r="G1066" t="str">
        <v>REGULAR</v>
      </c>
    </row>
    <row r="1067" spans="6:7" x14ac:dyDescent="0.3">
      <c r="F1067" t="str">
        <v>expiration:</v>
      </c>
      <c r="G1067">
        <v>1686268800</v>
      </c>
    </row>
    <row r="1068" spans="6:7" x14ac:dyDescent="0.3">
      <c r="F1068" t="str">
        <v>lastTradeDate:</v>
      </c>
      <c r="G1068">
        <v>1686146892</v>
      </c>
    </row>
    <row r="1069" spans="6:7" x14ac:dyDescent="0.3">
      <c r="F1069" t="str">
        <v>impliedVolatility:</v>
      </c>
      <c r="G1069">
        <v>0.87500124999999995</v>
      </c>
    </row>
    <row r="1070" spans="6:7" x14ac:dyDescent="0.3">
      <c r="F1070" t="str">
        <v>inTheMoney:</v>
      </c>
      <c r="G1070" t="str">
        <v>false</v>
      </c>
    </row>
    <row r="1071" spans="6:7" x14ac:dyDescent="0.3">
      <c r="F1071" t="str">
        <v>contractSymbol:</v>
      </c>
      <c r="G1071" t="str">
        <v>AAPL230609P00149000</v>
      </c>
    </row>
    <row r="1072" spans="6:7" x14ac:dyDescent="0.3">
      <c r="F1072" t="str">
        <v>strike:</v>
      </c>
      <c r="G1072">
        <v>149</v>
      </c>
    </row>
    <row r="1073" spans="6:7" x14ac:dyDescent="0.3">
      <c r="F1073" t="str">
        <v>currency:</v>
      </c>
      <c r="G1073" t="str">
        <v>USD</v>
      </c>
    </row>
    <row r="1074" spans="6:7" x14ac:dyDescent="0.3">
      <c r="F1074" t="str">
        <v>lastPrice:</v>
      </c>
      <c r="G1074">
        <v>0.01</v>
      </c>
    </row>
    <row r="1075" spans="6:7" x14ac:dyDescent="0.3">
      <c r="F1075" t="str">
        <v>change:</v>
      </c>
      <c r="G1075">
        <v>0</v>
      </c>
    </row>
    <row r="1076" spans="6:7" x14ac:dyDescent="0.3">
      <c r="F1076" t="str">
        <v>percentChange:</v>
      </c>
      <c r="G1076">
        <v>0</v>
      </c>
    </row>
    <row r="1077" spans="6:7" x14ac:dyDescent="0.3">
      <c r="F1077" t="str">
        <v>volume:</v>
      </c>
      <c r="G1077">
        <v>10</v>
      </c>
    </row>
    <row r="1078" spans="6:7" x14ac:dyDescent="0.3">
      <c r="F1078" t="str">
        <v>openInterest:</v>
      </c>
      <c r="G1078">
        <v>178</v>
      </c>
    </row>
    <row r="1079" spans="6:7" x14ac:dyDescent="0.3">
      <c r="F1079" t="str">
        <v>bid:</v>
      </c>
      <c r="G1079">
        <v>0</v>
      </c>
    </row>
    <row r="1080" spans="6:7" x14ac:dyDescent="0.3">
      <c r="F1080" t="str">
        <v>ask:</v>
      </c>
      <c r="G1080">
        <v>0.01</v>
      </c>
    </row>
    <row r="1081" spans="6:7" x14ac:dyDescent="0.3">
      <c r="F1081" t="str">
        <v>contractSize:</v>
      </c>
      <c r="G1081" t="str">
        <v>REGULAR</v>
      </c>
    </row>
    <row r="1082" spans="6:7" x14ac:dyDescent="0.3">
      <c r="F1082" t="str">
        <v>expiration:</v>
      </c>
      <c r="G1082">
        <v>1686268800</v>
      </c>
    </row>
    <row r="1083" spans="6:7" x14ac:dyDescent="0.3">
      <c r="F1083" t="str">
        <v>lastTradeDate:</v>
      </c>
      <c r="G1083">
        <v>1686144602</v>
      </c>
    </row>
    <row r="1084" spans="6:7" x14ac:dyDescent="0.3">
      <c r="F1084" t="str">
        <v>impliedVolatility:</v>
      </c>
      <c r="G1084">
        <v>0.84375156249999994</v>
      </c>
    </row>
    <row r="1085" spans="6:7" x14ac:dyDescent="0.3">
      <c r="F1085" t="str">
        <v>inTheMoney:</v>
      </c>
      <c r="G1085" t="str">
        <v>false</v>
      </c>
    </row>
    <row r="1086" spans="6:7" x14ac:dyDescent="0.3">
      <c r="F1086" t="str">
        <v>contractSymbol:</v>
      </c>
      <c r="G1086" t="str">
        <v>AAPL230609P00150000</v>
      </c>
    </row>
    <row r="1087" spans="6:7" x14ac:dyDescent="0.3">
      <c r="F1087" t="str">
        <v>strike:</v>
      </c>
      <c r="G1087">
        <v>150</v>
      </c>
    </row>
    <row r="1088" spans="6:7" x14ac:dyDescent="0.3">
      <c r="F1088" t="str">
        <v>currency:</v>
      </c>
      <c r="G1088" t="str">
        <v>USD</v>
      </c>
    </row>
    <row r="1089" spans="6:7" x14ac:dyDescent="0.3">
      <c r="F1089" t="str">
        <v>lastPrice:</v>
      </c>
      <c r="G1089">
        <v>0.01</v>
      </c>
    </row>
    <row r="1090" spans="6:7" x14ac:dyDescent="0.3">
      <c r="F1090" t="str">
        <v>change:</v>
      </c>
      <c r="G1090">
        <v>0</v>
      </c>
    </row>
    <row r="1091" spans="6:7" x14ac:dyDescent="0.3">
      <c r="F1091" t="str">
        <v>percentChange:</v>
      </c>
      <c r="G1091">
        <v>0</v>
      </c>
    </row>
    <row r="1092" spans="6:7" x14ac:dyDescent="0.3">
      <c r="F1092" t="str">
        <v>volume:</v>
      </c>
      <c r="G1092">
        <v>10</v>
      </c>
    </row>
    <row r="1093" spans="6:7" x14ac:dyDescent="0.3">
      <c r="F1093" t="str">
        <v>openInterest:</v>
      </c>
      <c r="G1093">
        <v>3407</v>
      </c>
    </row>
    <row r="1094" spans="6:7" x14ac:dyDescent="0.3">
      <c r="F1094" t="str">
        <v>bid:</v>
      </c>
      <c r="G1094">
        <v>0</v>
      </c>
    </row>
    <row r="1095" spans="6:7" x14ac:dyDescent="0.3">
      <c r="F1095" t="str">
        <v>ask:</v>
      </c>
      <c r="G1095">
        <v>0.01</v>
      </c>
    </row>
    <row r="1096" spans="6:7" x14ac:dyDescent="0.3">
      <c r="F1096" t="str">
        <v>contractSize:</v>
      </c>
      <c r="G1096" t="str">
        <v>REGULAR</v>
      </c>
    </row>
    <row r="1097" spans="6:7" x14ac:dyDescent="0.3">
      <c r="F1097" t="str">
        <v>expiration:</v>
      </c>
      <c r="G1097">
        <v>1686268800</v>
      </c>
    </row>
    <row r="1098" spans="6:7" x14ac:dyDescent="0.3">
      <c r="F1098" t="str">
        <v>lastTradeDate:</v>
      </c>
      <c r="G1098">
        <v>1686158632</v>
      </c>
    </row>
    <row r="1099" spans="6:7" x14ac:dyDescent="0.3">
      <c r="F1099" t="str">
        <v>impliedVolatility:</v>
      </c>
      <c r="G1099">
        <v>0.81250187499999993</v>
      </c>
    </row>
    <row r="1100" spans="6:7" x14ac:dyDescent="0.3">
      <c r="F1100" t="str">
        <v>inTheMoney:</v>
      </c>
      <c r="G1100" t="str">
        <v>false</v>
      </c>
    </row>
    <row r="1101" spans="6:7" x14ac:dyDescent="0.3">
      <c r="F1101" t="str">
        <v>contractSymbol:</v>
      </c>
      <c r="G1101" t="str">
        <v>AAPL230609P00152500</v>
      </c>
    </row>
    <row r="1102" spans="6:7" x14ac:dyDescent="0.3">
      <c r="F1102" t="str">
        <v>strike:</v>
      </c>
      <c r="G1102">
        <v>152.5</v>
      </c>
    </row>
    <row r="1103" spans="6:7" x14ac:dyDescent="0.3">
      <c r="F1103" t="str">
        <v>currency:</v>
      </c>
      <c r="G1103" t="str">
        <v>USD</v>
      </c>
    </row>
    <row r="1104" spans="6:7" x14ac:dyDescent="0.3">
      <c r="F1104" t="str">
        <v>lastPrice:</v>
      </c>
      <c r="G1104">
        <v>0.01</v>
      </c>
    </row>
    <row r="1105" spans="6:7" x14ac:dyDescent="0.3">
      <c r="F1105" t="str">
        <v>change:</v>
      </c>
      <c r="G1105">
        <v>0</v>
      </c>
    </row>
    <row r="1106" spans="6:7" x14ac:dyDescent="0.3">
      <c r="F1106" t="str">
        <v>percentChange:</v>
      </c>
      <c r="G1106">
        <v>0</v>
      </c>
    </row>
    <row r="1107" spans="6:7" x14ac:dyDescent="0.3">
      <c r="F1107" t="str">
        <v>volume:</v>
      </c>
      <c r="G1107">
        <v>6</v>
      </c>
    </row>
    <row r="1108" spans="6:7" x14ac:dyDescent="0.3">
      <c r="F1108" t="str">
        <v>openInterest:</v>
      </c>
      <c r="G1108">
        <v>1345</v>
      </c>
    </row>
    <row r="1109" spans="6:7" x14ac:dyDescent="0.3">
      <c r="F1109" t="str">
        <v>bid:</v>
      </c>
      <c r="G1109">
        <v>0</v>
      </c>
    </row>
    <row r="1110" spans="6:7" x14ac:dyDescent="0.3">
      <c r="F1110" t="str">
        <v>ask:</v>
      </c>
      <c r="G1110">
        <v>0.01</v>
      </c>
    </row>
    <row r="1111" spans="6:7" x14ac:dyDescent="0.3">
      <c r="F1111" t="str">
        <v>contractSize:</v>
      </c>
      <c r="G1111" t="str">
        <v>REGULAR</v>
      </c>
    </row>
    <row r="1112" spans="6:7" x14ac:dyDescent="0.3">
      <c r="F1112" t="str">
        <v>expiration:</v>
      </c>
      <c r="G1112">
        <v>1686268800</v>
      </c>
    </row>
    <row r="1113" spans="6:7" x14ac:dyDescent="0.3">
      <c r="F1113" t="str">
        <v>lastTradeDate:</v>
      </c>
      <c r="G1113">
        <v>1686161306</v>
      </c>
    </row>
    <row r="1114" spans="6:7" x14ac:dyDescent="0.3">
      <c r="F1114" t="str">
        <v>impliedVolatility:</v>
      </c>
      <c r="G1114">
        <v>0.75000250000000002</v>
      </c>
    </row>
    <row r="1115" spans="6:7" x14ac:dyDescent="0.3">
      <c r="F1115" t="str">
        <v>inTheMoney:</v>
      </c>
      <c r="G1115" t="str">
        <v>false</v>
      </c>
    </row>
    <row r="1116" spans="6:7" x14ac:dyDescent="0.3">
      <c r="F1116" t="str">
        <v>contractSymbol:</v>
      </c>
      <c r="G1116" t="str">
        <v>AAPL230609P00155000</v>
      </c>
    </row>
    <row r="1117" spans="6:7" x14ac:dyDescent="0.3">
      <c r="F1117" t="str">
        <v>strike:</v>
      </c>
      <c r="G1117">
        <v>155</v>
      </c>
    </row>
    <row r="1118" spans="6:7" x14ac:dyDescent="0.3">
      <c r="F1118" t="str">
        <v>currency:</v>
      </c>
      <c r="G1118" t="str">
        <v>USD</v>
      </c>
    </row>
    <row r="1119" spans="6:7" x14ac:dyDescent="0.3">
      <c r="F1119" t="str">
        <v>lastPrice:</v>
      </c>
      <c r="G1119">
        <v>0.01</v>
      </c>
    </row>
    <row r="1120" spans="6:7" x14ac:dyDescent="0.3">
      <c r="F1120" t="str">
        <v>change:</v>
      </c>
      <c r="G1120">
        <v>0</v>
      </c>
    </row>
    <row r="1121" spans="6:7" x14ac:dyDescent="0.3">
      <c r="F1121" t="str">
        <v>percentChange:</v>
      </c>
      <c r="G1121">
        <v>0</v>
      </c>
    </row>
    <row r="1122" spans="6:7" x14ac:dyDescent="0.3">
      <c r="F1122" t="str">
        <v>volume:</v>
      </c>
      <c r="G1122">
        <v>204</v>
      </c>
    </row>
    <row r="1123" spans="6:7" x14ac:dyDescent="0.3">
      <c r="F1123" t="str">
        <v>openInterest:</v>
      </c>
      <c r="G1123">
        <v>3413</v>
      </c>
    </row>
    <row r="1124" spans="6:7" x14ac:dyDescent="0.3">
      <c r="F1124" t="str">
        <v>bid:</v>
      </c>
      <c r="G1124">
        <v>0</v>
      </c>
    </row>
    <row r="1125" spans="6:7" x14ac:dyDescent="0.3">
      <c r="F1125" t="str">
        <v>ask:</v>
      </c>
      <c r="G1125">
        <v>0.01</v>
      </c>
    </row>
    <row r="1126" spans="6:7" x14ac:dyDescent="0.3">
      <c r="F1126" t="str">
        <v>contractSize:</v>
      </c>
      <c r="G1126" t="str">
        <v>REGULAR</v>
      </c>
    </row>
    <row r="1127" spans="6:7" x14ac:dyDescent="0.3">
      <c r="F1127" t="str">
        <v>expiration:</v>
      </c>
      <c r="G1127">
        <v>1686268800</v>
      </c>
    </row>
    <row r="1128" spans="6:7" x14ac:dyDescent="0.3">
      <c r="F1128" t="str">
        <v>lastTradeDate:</v>
      </c>
      <c r="G1128">
        <v>1686233001</v>
      </c>
    </row>
    <row r="1129" spans="6:7" x14ac:dyDescent="0.3">
      <c r="F1129" t="str">
        <v>impliedVolatility:</v>
      </c>
      <c r="G1129">
        <v>0.65625343750000009</v>
      </c>
    </row>
    <row r="1130" spans="6:7" x14ac:dyDescent="0.3">
      <c r="F1130" t="str">
        <v>inTheMoney:</v>
      </c>
      <c r="G1130" t="str">
        <v>false</v>
      </c>
    </row>
    <row r="1131" spans="6:7" x14ac:dyDescent="0.3">
      <c r="F1131" t="str">
        <v>contractSymbol:</v>
      </c>
      <c r="G1131" t="str">
        <v>AAPL230609P00157500</v>
      </c>
    </row>
    <row r="1132" spans="6:7" x14ac:dyDescent="0.3">
      <c r="F1132" t="str">
        <v>strike:</v>
      </c>
      <c r="G1132">
        <v>157.5</v>
      </c>
    </row>
    <row r="1133" spans="6:7" x14ac:dyDescent="0.3">
      <c r="F1133" t="str">
        <v>currency:</v>
      </c>
      <c r="G1133" t="str">
        <v>USD</v>
      </c>
    </row>
    <row r="1134" spans="6:7" x14ac:dyDescent="0.3">
      <c r="F1134" t="str">
        <v>lastPrice:</v>
      </c>
      <c r="G1134">
        <v>0.01</v>
      </c>
    </row>
    <row r="1135" spans="6:7" x14ac:dyDescent="0.3">
      <c r="F1135" t="str">
        <v>change:</v>
      </c>
      <c r="G1135">
        <v>0</v>
      </c>
    </row>
    <row r="1136" spans="6:7" x14ac:dyDescent="0.3">
      <c r="F1136" t="str">
        <v>percentChange:</v>
      </c>
      <c r="G1136">
        <v>0</v>
      </c>
    </row>
    <row r="1137" spans="6:7" x14ac:dyDescent="0.3">
      <c r="F1137" t="str">
        <v>volume:</v>
      </c>
      <c r="G1137">
        <v>35</v>
      </c>
    </row>
    <row r="1138" spans="6:7" x14ac:dyDescent="0.3">
      <c r="F1138" t="str">
        <v>openInterest:</v>
      </c>
      <c r="G1138">
        <v>2974</v>
      </c>
    </row>
    <row r="1139" spans="6:7" x14ac:dyDescent="0.3">
      <c r="F1139" t="str">
        <v>bid:</v>
      </c>
      <c r="G1139">
        <v>0</v>
      </c>
    </row>
    <row r="1140" spans="6:7" x14ac:dyDescent="0.3">
      <c r="F1140" t="str">
        <v>ask:</v>
      </c>
      <c r="G1140">
        <v>0.01</v>
      </c>
    </row>
    <row r="1141" spans="6:7" x14ac:dyDescent="0.3">
      <c r="F1141" t="str">
        <v>contractSize:</v>
      </c>
      <c r="G1141" t="str">
        <v>REGULAR</v>
      </c>
    </row>
    <row r="1142" spans="6:7" x14ac:dyDescent="0.3">
      <c r="F1142" t="str">
        <v>expiration:</v>
      </c>
      <c r="G1142">
        <v>1686268800</v>
      </c>
    </row>
    <row r="1143" spans="6:7" x14ac:dyDescent="0.3">
      <c r="F1143" t="str">
        <v>lastTradeDate:</v>
      </c>
      <c r="G1143">
        <v>1686233371</v>
      </c>
    </row>
    <row r="1144" spans="6:7" x14ac:dyDescent="0.3">
      <c r="F1144" t="str">
        <v>impliedVolatility:</v>
      </c>
      <c r="G1144">
        <v>0.59375406250000007</v>
      </c>
    </row>
    <row r="1145" spans="6:7" x14ac:dyDescent="0.3">
      <c r="F1145" t="str">
        <v>inTheMoney:</v>
      </c>
      <c r="G1145" t="str">
        <v>false</v>
      </c>
    </row>
    <row r="1146" spans="6:7" x14ac:dyDescent="0.3">
      <c r="F1146" t="str">
        <v>contractSymbol:</v>
      </c>
      <c r="G1146" t="str">
        <v>AAPL230609P00160000</v>
      </c>
    </row>
    <row r="1147" spans="6:7" x14ac:dyDescent="0.3">
      <c r="F1147" t="str">
        <v>strike:</v>
      </c>
      <c r="G1147">
        <v>160</v>
      </c>
    </row>
    <row r="1148" spans="6:7" x14ac:dyDescent="0.3">
      <c r="F1148" t="str">
        <v>currency:</v>
      </c>
      <c r="G1148" t="str">
        <v>USD</v>
      </c>
    </row>
    <row r="1149" spans="6:7" x14ac:dyDescent="0.3">
      <c r="F1149" t="str">
        <v>lastPrice:</v>
      </c>
      <c r="G1149">
        <v>0.01</v>
      </c>
    </row>
    <row r="1150" spans="6:7" x14ac:dyDescent="0.3">
      <c r="F1150" t="str">
        <v>change:</v>
      </c>
      <c r="G1150">
        <v>0</v>
      </c>
    </row>
    <row r="1151" spans="6:7" x14ac:dyDescent="0.3">
      <c r="F1151" t="str">
        <v>percentChange:</v>
      </c>
      <c r="G1151">
        <v>0</v>
      </c>
    </row>
    <row r="1152" spans="6:7" x14ac:dyDescent="0.3">
      <c r="F1152" t="str">
        <v>volume:</v>
      </c>
      <c r="G1152">
        <v>109</v>
      </c>
    </row>
    <row r="1153" spans="6:7" x14ac:dyDescent="0.3">
      <c r="F1153" t="str">
        <v>openInterest:</v>
      </c>
      <c r="G1153">
        <v>4343</v>
      </c>
    </row>
    <row r="1154" spans="6:7" x14ac:dyDescent="0.3">
      <c r="F1154" t="str">
        <v>bid:</v>
      </c>
      <c r="G1154">
        <v>0</v>
      </c>
    </row>
    <row r="1155" spans="6:7" x14ac:dyDescent="0.3">
      <c r="F1155" t="str">
        <v>ask:</v>
      </c>
      <c r="G1155">
        <v>0.01</v>
      </c>
    </row>
    <row r="1156" spans="6:7" x14ac:dyDescent="0.3">
      <c r="F1156" t="str">
        <v>contractSize:</v>
      </c>
      <c r="G1156" t="str">
        <v>REGULAR</v>
      </c>
    </row>
    <row r="1157" spans="6:7" x14ac:dyDescent="0.3">
      <c r="F1157" t="str">
        <v>expiration:</v>
      </c>
      <c r="G1157">
        <v>1686268800</v>
      </c>
    </row>
    <row r="1158" spans="6:7" x14ac:dyDescent="0.3">
      <c r="F1158" t="str">
        <v>lastTradeDate:</v>
      </c>
      <c r="G1158">
        <v>1686231892</v>
      </c>
    </row>
    <row r="1159" spans="6:7" x14ac:dyDescent="0.3">
      <c r="F1159" t="str">
        <v>impliedVolatility:</v>
      </c>
      <c r="G1159">
        <v>0.53125468750000004</v>
      </c>
    </row>
    <row r="1160" spans="6:7" x14ac:dyDescent="0.3">
      <c r="F1160" t="str">
        <v>inTheMoney:</v>
      </c>
      <c r="G1160" t="str">
        <v>false</v>
      </c>
    </row>
    <row r="1161" spans="6:7" x14ac:dyDescent="0.3">
      <c r="F1161" t="str">
        <v>contractSymbol:</v>
      </c>
      <c r="G1161" t="str">
        <v>AAPL230609P00162500</v>
      </c>
    </row>
    <row r="1162" spans="6:7" x14ac:dyDescent="0.3">
      <c r="F1162" t="str">
        <v>strike:</v>
      </c>
      <c r="G1162">
        <v>162.5</v>
      </c>
    </row>
    <row r="1163" spans="6:7" x14ac:dyDescent="0.3">
      <c r="F1163" t="str">
        <v>currency:</v>
      </c>
      <c r="G1163" t="str">
        <v>USD</v>
      </c>
    </row>
    <row r="1164" spans="6:7" x14ac:dyDescent="0.3">
      <c r="F1164" t="str">
        <v>lastPrice:</v>
      </c>
      <c r="G1164">
        <v>0.01</v>
      </c>
    </row>
    <row r="1165" spans="6:7" x14ac:dyDescent="0.3">
      <c r="F1165" t="str">
        <v>change:</v>
      </c>
      <c r="G1165">
        <v>0</v>
      </c>
    </row>
    <row r="1166" spans="6:7" x14ac:dyDescent="0.3">
      <c r="F1166" t="str">
        <v>percentChange:</v>
      </c>
      <c r="G1166">
        <v>0</v>
      </c>
    </row>
    <row r="1167" spans="6:7" x14ac:dyDescent="0.3">
      <c r="F1167" t="str">
        <v>volume:</v>
      </c>
      <c r="G1167">
        <v>32</v>
      </c>
    </row>
    <row r="1168" spans="6:7" x14ac:dyDescent="0.3">
      <c r="F1168" t="str">
        <v>openInterest:</v>
      </c>
      <c r="G1168">
        <v>1647</v>
      </c>
    </row>
    <row r="1169" spans="6:7" x14ac:dyDescent="0.3">
      <c r="F1169" t="str">
        <v>bid:</v>
      </c>
      <c r="G1169">
        <v>0.01</v>
      </c>
    </row>
    <row r="1170" spans="6:7" x14ac:dyDescent="0.3">
      <c r="F1170" t="str">
        <v>ask:</v>
      </c>
      <c r="G1170">
        <v>0.01</v>
      </c>
    </row>
    <row r="1171" spans="6:7" x14ac:dyDescent="0.3">
      <c r="F1171" t="str">
        <v>contractSize:</v>
      </c>
      <c r="G1171" t="str">
        <v>REGULAR</v>
      </c>
    </row>
    <row r="1172" spans="6:7" x14ac:dyDescent="0.3">
      <c r="F1172" t="str">
        <v>expiration:</v>
      </c>
      <c r="G1172">
        <v>1686268800</v>
      </c>
    </row>
    <row r="1173" spans="6:7" x14ac:dyDescent="0.3">
      <c r="F1173" t="str">
        <v>lastTradeDate:</v>
      </c>
      <c r="G1173">
        <v>1686233456</v>
      </c>
    </row>
    <row r="1174" spans="6:7" x14ac:dyDescent="0.3">
      <c r="F1174" t="str">
        <v>impliedVolatility:</v>
      </c>
      <c r="G1174">
        <v>0.50000500000000003</v>
      </c>
    </row>
    <row r="1175" spans="6:7" x14ac:dyDescent="0.3">
      <c r="F1175" t="str">
        <v>inTheMoney:</v>
      </c>
      <c r="G1175" t="str">
        <v>false</v>
      </c>
    </row>
    <row r="1176" spans="6:7" x14ac:dyDescent="0.3">
      <c r="F1176" t="str">
        <v>contractSymbol:</v>
      </c>
      <c r="G1176" t="str">
        <v>AAPL230609P00165000</v>
      </c>
    </row>
    <row r="1177" spans="6:7" x14ac:dyDescent="0.3">
      <c r="F1177" t="str">
        <v>strike:</v>
      </c>
      <c r="G1177">
        <v>165</v>
      </c>
    </row>
    <row r="1178" spans="6:7" x14ac:dyDescent="0.3">
      <c r="F1178" t="str">
        <v>currency:</v>
      </c>
      <c r="G1178" t="str">
        <v>USD</v>
      </c>
    </row>
    <row r="1179" spans="6:7" x14ac:dyDescent="0.3">
      <c r="F1179" t="str">
        <v>lastPrice:</v>
      </c>
      <c r="G1179">
        <v>0.02</v>
      </c>
    </row>
    <row r="1180" spans="6:7" x14ac:dyDescent="0.3">
      <c r="F1180" t="str">
        <v>change:</v>
      </c>
      <c r="G1180">
        <v>0</v>
      </c>
    </row>
    <row r="1181" spans="6:7" x14ac:dyDescent="0.3">
      <c r="F1181" t="str">
        <v>percentChange:</v>
      </c>
      <c r="G1181">
        <v>0</v>
      </c>
    </row>
    <row r="1182" spans="6:7" x14ac:dyDescent="0.3">
      <c r="F1182" t="str">
        <v>volume:</v>
      </c>
      <c r="G1182">
        <v>16</v>
      </c>
    </row>
    <row r="1183" spans="6:7" x14ac:dyDescent="0.3">
      <c r="F1183" t="str">
        <v>openInterest:</v>
      </c>
      <c r="G1183">
        <v>6014</v>
      </c>
    </row>
    <row r="1184" spans="6:7" x14ac:dyDescent="0.3">
      <c r="F1184" t="str">
        <v>bid:</v>
      </c>
      <c r="G1184">
        <v>0.01</v>
      </c>
    </row>
    <row r="1185" spans="6:7" x14ac:dyDescent="0.3">
      <c r="F1185" t="str">
        <v>ask:</v>
      </c>
      <c r="G1185">
        <v>0.02</v>
      </c>
    </row>
    <row r="1186" spans="6:7" x14ac:dyDescent="0.3">
      <c r="F1186" t="str">
        <v>contractSize:</v>
      </c>
      <c r="G1186" t="str">
        <v>REGULAR</v>
      </c>
    </row>
    <row r="1187" spans="6:7" x14ac:dyDescent="0.3">
      <c r="F1187" t="str">
        <v>expiration:</v>
      </c>
      <c r="G1187">
        <v>1686268800</v>
      </c>
    </row>
    <row r="1188" spans="6:7" x14ac:dyDescent="0.3">
      <c r="F1188" t="str">
        <v>lastTradeDate:</v>
      </c>
      <c r="G1188">
        <v>1686232901</v>
      </c>
    </row>
    <row r="1189" spans="6:7" x14ac:dyDescent="0.3">
      <c r="F1189" t="str">
        <v>impliedVolatility:</v>
      </c>
      <c r="G1189">
        <v>0.46094289062500005</v>
      </c>
    </row>
    <row r="1190" spans="6:7" x14ac:dyDescent="0.3">
      <c r="F1190" t="str">
        <v>inTheMoney:</v>
      </c>
      <c r="G1190" t="str">
        <v>false</v>
      </c>
    </row>
    <row r="1191" spans="6:7" x14ac:dyDescent="0.3">
      <c r="F1191" t="str">
        <v>contractSymbol:</v>
      </c>
      <c r="G1191" t="str">
        <v>AAPL230609P00167500</v>
      </c>
    </row>
    <row r="1192" spans="6:7" x14ac:dyDescent="0.3">
      <c r="F1192" t="str">
        <v>strike:</v>
      </c>
      <c r="G1192">
        <v>167.5</v>
      </c>
    </row>
    <row r="1193" spans="6:7" x14ac:dyDescent="0.3">
      <c r="F1193" t="str">
        <v>currency:</v>
      </c>
      <c r="G1193" t="str">
        <v>USD</v>
      </c>
    </row>
    <row r="1194" spans="6:7" x14ac:dyDescent="0.3">
      <c r="F1194" t="str">
        <v>lastPrice:</v>
      </c>
      <c r="G1194">
        <v>0.02</v>
      </c>
    </row>
    <row r="1195" spans="6:7" x14ac:dyDescent="0.3">
      <c r="F1195" t="str">
        <v>change:</v>
      </c>
      <c r="G1195">
        <v>0</v>
      </c>
    </row>
    <row r="1196" spans="6:7" x14ac:dyDescent="0.3">
      <c r="F1196" t="str">
        <v>percentChange:</v>
      </c>
      <c r="G1196">
        <v>0</v>
      </c>
    </row>
    <row r="1197" spans="6:7" x14ac:dyDescent="0.3">
      <c r="F1197" t="str">
        <v>volume:</v>
      </c>
      <c r="G1197">
        <v>104</v>
      </c>
    </row>
    <row r="1198" spans="6:7" x14ac:dyDescent="0.3">
      <c r="F1198" t="str">
        <v>openInterest:</v>
      </c>
      <c r="G1198">
        <v>5933</v>
      </c>
    </row>
    <row r="1199" spans="6:7" x14ac:dyDescent="0.3">
      <c r="F1199" t="str">
        <v>bid:</v>
      </c>
      <c r="G1199">
        <v>0.02</v>
      </c>
    </row>
    <row r="1200" spans="6:7" x14ac:dyDescent="0.3">
      <c r="F1200" t="str">
        <v>ask:</v>
      </c>
      <c r="G1200">
        <v>0.03</v>
      </c>
    </row>
    <row r="1201" spans="6:7" x14ac:dyDescent="0.3">
      <c r="F1201" t="str">
        <v>contractSize:</v>
      </c>
      <c r="G1201" t="str">
        <v>REGULAR</v>
      </c>
    </row>
    <row r="1202" spans="6:7" x14ac:dyDescent="0.3">
      <c r="F1202" t="str">
        <v>expiration:</v>
      </c>
      <c r="G1202">
        <v>1686268800</v>
      </c>
    </row>
    <row r="1203" spans="6:7" x14ac:dyDescent="0.3">
      <c r="F1203" t="str">
        <v>lastTradeDate:</v>
      </c>
      <c r="G1203">
        <v>1686233774</v>
      </c>
    </row>
    <row r="1204" spans="6:7" x14ac:dyDescent="0.3">
      <c r="F1204" t="str">
        <v>impliedVolatility:</v>
      </c>
      <c r="G1204">
        <v>0.4062559375</v>
      </c>
    </row>
    <row r="1205" spans="6:7" x14ac:dyDescent="0.3">
      <c r="F1205" t="str">
        <v>inTheMoney:</v>
      </c>
      <c r="G1205" t="str">
        <v>false</v>
      </c>
    </row>
    <row r="1206" spans="6:7" x14ac:dyDescent="0.3">
      <c r="F1206" t="str">
        <v>contractSymbol:</v>
      </c>
      <c r="G1206" t="str">
        <v>AAPL230609P00170000</v>
      </c>
    </row>
    <row r="1207" spans="6:7" x14ac:dyDescent="0.3">
      <c r="F1207" t="str">
        <v>strike:</v>
      </c>
      <c r="G1207">
        <v>170</v>
      </c>
    </row>
    <row r="1208" spans="6:7" x14ac:dyDescent="0.3">
      <c r="F1208" t="str">
        <v>currency:</v>
      </c>
      <c r="G1208" t="str">
        <v>USD</v>
      </c>
    </row>
    <row r="1209" spans="6:7" x14ac:dyDescent="0.3">
      <c r="F1209" t="str">
        <v>lastPrice:</v>
      </c>
      <c r="G1209">
        <v>0.03</v>
      </c>
    </row>
    <row r="1210" spans="6:7" x14ac:dyDescent="0.3">
      <c r="F1210" t="str">
        <v>change:</v>
      </c>
      <c r="G1210">
        <v>-2.0000001E-2</v>
      </c>
    </row>
    <row r="1211" spans="6:7" x14ac:dyDescent="0.3">
      <c r="F1211" t="str">
        <v>percentChange:</v>
      </c>
      <c r="G1211">
        <v>-40.000003999999997</v>
      </c>
    </row>
    <row r="1212" spans="6:7" x14ac:dyDescent="0.3">
      <c r="F1212" t="str">
        <v>volume:</v>
      </c>
      <c r="G1212">
        <v>684</v>
      </c>
    </row>
    <row r="1213" spans="6:7" x14ac:dyDescent="0.3">
      <c r="F1213" t="str">
        <v>openInterest:</v>
      </c>
      <c r="G1213">
        <v>14446</v>
      </c>
    </row>
    <row r="1214" spans="6:7" x14ac:dyDescent="0.3">
      <c r="F1214" t="str">
        <v>bid:</v>
      </c>
      <c r="G1214">
        <v>0.03</v>
      </c>
    </row>
    <row r="1215" spans="6:7" x14ac:dyDescent="0.3">
      <c r="F1215" t="str">
        <v>ask:</v>
      </c>
      <c r="G1215">
        <v>0.04</v>
      </c>
    </row>
    <row r="1216" spans="6:7" x14ac:dyDescent="0.3">
      <c r="F1216" t="str">
        <v>contractSize:</v>
      </c>
      <c r="G1216" t="str">
        <v>REGULAR</v>
      </c>
    </row>
    <row r="1217" spans="6:7" x14ac:dyDescent="0.3">
      <c r="F1217" t="str">
        <v>expiration:</v>
      </c>
      <c r="G1217">
        <v>1686268800</v>
      </c>
    </row>
    <row r="1218" spans="6:7" x14ac:dyDescent="0.3">
      <c r="F1218" t="str">
        <v>lastTradeDate:</v>
      </c>
      <c r="G1218">
        <v>1686234002</v>
      </c>
    </row>
    <row r="1219" spans="6:7" x14ac:dyDescent="0.3">
      <c r="F1219" t="str">
        <v>impliedVolatility:</v>
      </c>
      <c r="G1219">
        <v>0.33985035156249999</v>
      </c>
    </row>
    <row r="1220" spans="6:7" x14ac:dyDescent="0.3">
      <c r="F1220" t="str">
        <v>inTheMoney:</v>
      </c>
      <c r="G1220" t="str">
        <v>false</v>
      </c>
    </row>
    <row r="1221" spans="6:7" x14ac:dyDescent="0.3">
      <c r="F1221" t="str">
        <v>contractSymbol:</v>
      </c>
      <c r="G1221" t="str">
        <v>AAPL230609P00172500</v>
      </c>
    </row>
    <row r="1222" spans="6:7" x14ac:dyDescent="0.3">
      <c r="F1222" t="str">
        <v>strike:</v>
      </c>
      <c r="G1222">
        <v>172.5</v>
      </c>
    </row>
    <row r="1223" spans="6:7" x14ac:dyDescent="0.3">
      <c r="F1223" t="str">
        <v>currency:</v>
      </c>
      <c r="G1223" t="str">
        <v>USD</v>
      </c>
    </row>
    <row r="1224" spans="6:7" x14ac:dyDescent="0.3">
      <c r="F1224" t="str">
        <v>lastPrice:</v>
      </c>
      <c r="G1224">
        <v>0.06</v>
      </c>
    </row>
    <row r="1225" spans="6:7" x14ac:dyDescent="0.3">
      <c r="F1225" t="str">
        <v>change:</v>
      </c>
      <c r="G1225">
        <v>-0.06</v>
      </c>
    </row>
    <row r="1226" spans="6:7" x14ac:dyDescent="0.3">
      <c r="F1226" t="str">
        <v>percentChange:</v>
      </c>
      <c r="G1226">
        <v>-50</v>
      </c>
    </row>
    <row r="1227" spans="6:7" x14ac:dyDescent="0.3">
      <c r="F1227" t="str">
        <v>volume:</v>
      </c>
      <c r="G1227">
        <v>1020</v>
      </c>
    </row>
    <row r="1228" spans="6:7" x14ac:dyDescent="0.3">
      <c r="F1228" t="str">
        <v>openInterest:</v>
      </c>
      <c r="G1228">
        <v>15855</v>
      </c>
    </row>
    <row r="1229" spans="6:7" x14ac:dyDescent="0.3">
      <c r="F1229" t="str">
        <v>bid:</v>
      </c>
      <c r="G1229">
        <v>0.06</v>
      </c>
    </row>
    <row r="1230" spans="6:7" x14ac:dyDescent="0.3">
      <c r="F1230" t="str">
        <v>ask:</v>
      </c>
      <c r="G1230">
        <v>7.0000000000000007E-2</v>
      </c>
    </row>
    <row r="1231" spans="6:7" x14ac:dyDescent="0.3">
      <c r="F1231" t="str">
        <v>contractSize:</v>
      </c>
      <c r="G1231" t="str">
        <v>REGULAR</v>
      </c>
    </row>
    <row r="1232" spans="6:7" x14ac:dyDescent="0.3">
      <c r="F1232" t="str">
        <v>expiration:</v>
      </c>
      <c r="G1232">
        <v>1686268800</v>
      </c>
    </row>
    <row r="1233" spans="6:7" x14ac:dyDescent="0.3">
      <c r="F1233" t="str">
        <v>lastTradeDate:</v>
      </c>
      <c r="G1233">
        <v>1686234076</v>
      </c>
    </row>
    <row r="1234" spans="6:7" x14ac:dyDescent="0.3">
      <c r="F1234" t="str">
        <v>impliedVolatility:</v>
      </c>
      <c r="G1234">
        <v>0.28125718749999995</v>
      </c>
    </row>
    <row r="1235" spans="6:7" x14ac:dyDescent="0.3">
      <c r="F1235" t="str">
        <v>inTheMoney:</v>
      </c>
      <c r="G1235" t="str">
        <v>false</v>
      </c>
    </row>
    <row r="1236" spans="6:7" x14ac:dyDescent="0.3">
      <c r="F1236" t="str">
        <v>contractSymbol:</v>
      </c>
      <c r="G1236" t="str">
        <v>AAPL230609P00175000</v>
      </c>
    </row>
    <row r="1237" spans="6:7" x14ac:dyDescent="0.3">
      <c r="F1237" t="str">
        <v>strike:</v>
      </c>
      <c r="G1237">
        <v>175</v>
      </c>
    </row>
    <row r="1238" spans="6:7" x14ac:dyDescent="0.3">
      <c r="F1238" t="str">
        <v>currency:</v>
      </c>
      <c r="G1238" t="str">
        <v>USD</v>
      </c>
    </row>
    <row r="1239" spans="6:7" x14ac:dyDescent="0.3">
      <c r="F1239" t="str">
        <v>lastPrice:</v>
      </c>
      <c r="G1239">
        <v>0.2</v>
      </c>
    </row>
    <row r="1240" spans="6:7" x14ac:dyDescent="0.3">
      <c r="F1240" t="str">
        <v>change:</v>
      </c>
      <c r="G1240">
        <v>-0.17999999</v>
      </c>
    </row>
    <row r="1241" spans="6:7" x14ac:dyDescent="0.3">
      <c r="F1241" t="str">
        <v>percentChange:</v>
      </c>
      <c r="G1241">
        <v>-47.36842</v>
      </c>
    </row>
    <row r="1242" spans="6:7" x14ac:dyDescent="0.3">
      <c r="F1242" t="str">
        <v>volume:</v>
      </c>
      <c r="G1242">
        <v>9165</v>
      </c>
    </row>
    <row r="1243" spans="6:7" x14ac:dyDescent="0.3">
      <c r="F1243" t="str">
        <v>openInterest:</v>
      </c>
      <c r="G1243">
        <v>30655</v>
      </c>
    </row>
    <row r="1244" spans="6:7" x14ac:dyDescent="0.3">
      <c r="F1244" t="str">
        <v>bid:</v>
      </c>
      <c r="G1244">
        <v>0.19</v>
      </c>
    </row>
    <row r="1245" spans="6:7" x14ac:dyDescent="0.3">
      <c r="F1245" t="str">
        <v>ask:</v>
      </c>
      <c r="G1245">
        <v>0.2</v>
      </c>
    </row>
    <row r="1246" spans="6:7" x14ac:dyDescent="0.3">
      <c r="F1246" t="str">
        <v>contractSize:</v>
      </c>
      <c r="G1246" t="str">
        <v>REGULAR</v>
      </c>
    </row>
    <row r="1247" spans="6:7" x14ac:dyDescent="0.3">
      <c r="F1247" t="str">
        <v>expiration:</v>
      </c>
      <c r="G1247">
        <v>1686268800</v>
      </c>
    </row>
    <row r="1248" spans="6:7" x14ac:dyDescent="0.3">
      <c r="F1248" t="str">
        <v>lastTradeDate:</v>
      </c>
      <c r="G1248">
        <v>1686234145</v>
      </c>
    </row>
    <row r="1249" spans="6:7" x14ac:dyDescent="0.3">
      <c r="F1249" t="str">
        <v>impliedVolatility:</v>
      </c>
      <c r="G1249">
        <v>0.24317163085937499</v>
      </c>
    </row>
    <row r="1250" spans="6:7" x14ac:dyDescent="0.3">
      <c r="F1250" t="str">
        <v>inTheMoney:</v>
      </c>
      <c r="G1250" t="str">
        <v>false</v>
      </c>
    </row>
    <row r="1251" spans="6:7" x14ac:dyDescent="0.3">
      <c r="F1251" t="str">
        <v>contractSymbol:</v>
      </c>
      <c r="G1251" t="str">
        <v>AAPL230609P00177500</v>
      </c>
    </row>
    <row r="1252" spans="6:7" x14ac:dyDescent="0.3">
      <c r="F1252" t="str">
        <v>strike:</v>
      </c>
      <c r="G1252">
        <v>177.5</v>
      </c>
    </row>
    <row r="1253" spans="6:7" x14ac:dyDescent="0.3">
      <c r="F1253" t="str">
        <v>currency:</v>
      </c>
      <c r="G1253" t="str">
        <v>USD</v>
      </c>
    </row>
    <row r="1254" spans="6:7" x14ac:dyDescent="0.3">
      <c r="F1254" t="str">
        <v>lastPrice:</v>
      </c>
      <c r="G1254">
        <v>0.79</v>
      </c>
    </row>
    <row r="1255" spans="6:7" x14ac:dyDescent="0.3">
      <c r="F1255" t="str">
        <v>change:</v>
      </c>
      <c r="G1255">
        <v>-0.31</v>
      </c>
    </row>
    <row r="1256" spans="6:7" x14ac:dyDescent="0.3">
      <c r="F1256" t="str">
        <v>percentChange:</v>
      </c>
      <c r="G1256">
        <v>-28.181818</v>
      </c>
    </row>
    <row r="1257" spans="6:7" x14ac:dyDescent="0.3">
      <c r="F1257" t="str">
        <v>volume:</v>
      </c>
      <c r="G1257">
        <v>17997</v>
      </c>
    </row>
    <row r="1258" spans="6:7" x14ac:dyDescent="0.3">
      <c r="F1258" t="str">
        <v>openInterest:</v>
      </c>
      <c r="G1258">
        <v>23544</v>
      </c>
    </row>
    <row r="1259" spans="6:7" x14ac:dyDescent="0.3">
      <c r="F1259" t="str">
        <v>bid:</v>
      </c>
      <c r="G1259">
        <v>0.77</v>
      </c>
    </row>
    <row r="1260" spans="6:7" x14ac:dyDescent="0.3">
      <c r="F1260" t="str">
        <v>ask:</v>
      </c>
      <c r="G1260">
        <v>0.79</v>
      </c>
    </row>
    <row r="1261" spans="6:7" x14ac:dyDescent="0.3">
      <c r="F1261" t="str">
        <v>contractSize:</v>
      </c>
      <c r="G1261" t="str">
        <v>REGULAR</v>
      </c>
    </row>
    <row r="1262" spans="6:7" x14ac:dyDescent="0.3">
      <c r="F1262" t="str">
        <v>expiration:</v>
      </c>
      <c r="G1262">
        <v>1686268800</v>
      </c>
    </row>
    <row r="1263" spans="6:7" x14ac:dyDescent="0.3">
      <c r="F1263" t="str">
        <v>lastTradeDate:</v>
      </c>
      <c r="G1263">
        <v>1686234085</v>
      </c>
    </row>
    <row r="1264" spans="6:7" x14ac:dyDescent="0.3">
      <c r="F1264" t="str">
        <v>impliedVolatility:</v>
      </c>
      <c r="G1264">
        <v>0.2436599072265625</v>
      </c>
    </row>
    <row r="1265" spans="6:7" x14ac:dyDescent="0.3">
      <c r="F1265" t="str">
        <v>inTheMoney:</v>
      </c>
      <c r="G1265" t="str">
        <v>false</v>
      </c>
    </row>
    <row r="1266" spans="6:7" x14ac:dyDescent="0.3">
      <c r="F1266" t="str">
        <v>contractSymbol:</v>
      </c>
      <c r="G1266" t="str">
        <v>AAPL230609P00180000</v>
      </c>
    </row>
    <row r="1267" spans="6:7" x14ac:dyDescent="0.3">
      <c r="F1267" t="str">
        <v>strike:</v>
      </c>
      <c r="G1267">
        <v>180</v>
      </c>
    </row>
    <row r="1268" spans="6:7" x14ac:dyDescent="0.3">
      <c r="F1268" t="str">
        <v>currency:</v>
      </c>
      <c r="G1268" t="str">
        <v>USD</v>
      </c>
    </row>
    <row r="1269" spans="6:7" x14ac:dyDescent="0.3">
      <c r="F1269" t="str">
        <v>lastPrice:</v>
      </c>
      <c r="G1269">
        <v>2.23</v>
      </c>
    </row>
    <row r="1270" spans="6:7" x14ac:dyDescent="0.3">
      <c r="F1270" t="str">
        <v>change:</v>
      </c>
      <c r="G1270">
        <v>-0.44000006000000003</v>
      </c>
    </row>
    <row r="1271" spans="6:7" x14ac:dyDescent="0.3">
      <c r="F1271" t="str">
        <v>percentChange:</v>
      </c>
      <c r="G1271">
        <v>-16.479403000000001</v>
      </c>
    </row>
    <row r="1272" spans="6:7" x14ac:dyDescent="0.3">
      <c r="F1272" t="str">
        <v>volume:</v>
      </c>
      <c r="G1272">
        <v>3570</v>
      </c>
    </row>
    <row r="1273" spans="6:7" x14ac:dyDescent="0.3">
      <c r="F1273" t="str">
        <v>openInterest:</v>
      </c>
      <c r="G1273">
        <v>25261</v>
      </c>
    </row>
    <row r="1274" spans="6:7" x14ac:dyDescent="0.3">
      <c r="F1274" t="str">
        <v>bid:</v>
      </c>
      <c r="G1274">
        <v>2.1800000000000002</v>
      </c>
    </row>
    <row r="1275" spans="6:7" x14ac:dyDescent="0.3">
      <c r="F1275" t="str">
        <v>ask:</v>
      </c>
      <c r="G1275">
        <v>2.2599999999999998</v>
      </c>
    </row>
    <row r="1276" spans="6:7" x14ac:dyDescent="0.3">
      <c r="F1276" t="str">
        <v>contractSize:</v>
      </c>
      <c r="G1276" t="str">
        <v>REGULAR</v>
      </c>
    </row>
    <row r="1277" spans="6:7" x14ac:dyDescent="0.3">
      <c r="F1277" t="str">
        <v>expiration:</v>
      </c>
      <c r="G1277">
        <v>1686268800</v>
      </c>
    </row>
    <row r="1278" spans="6:7" x14ac:dyDescent="0.3">
      <c r="F1278" t="str">
        <v>lastTradeDate:</v>
      </c>
      <c r="G1278">
        <v>1686234119</v>
      </c>
    </row>
    <row r="1279" spans="6:7" x14ac:dyDescent="0.3">
      <c r="F1279" t="str">
        <v>impliedVolatility:</v>
      </c>
      <c r="G1279">
        <v>0.28028063476562493</v>
      </c>
    </row>
    <row r="1280" spans="6:7" x14ac:dyDescent="0.3">
      <c r="F1280" t="str">
        <v>inTheMoney:</v>
      </c>
      <c r="G1280" t="str">
        <v>true</v>
      </c>
    </row>
    <row r="1281" spans="6:7" x14ac:dyDescent="0.3">
      <c r="F1281" t="str">
        <v>contractSymbol:</v>
      </c>
      <c r="G1281" t="str">
        <v>AAPL230609P00182500</v>
      </c>
    </row>
    <row r="1282" spans="6:7" x14ac:dyDescent="0.3">
      <c r="F1282" t="str">
        <v>strike:</v>
      </c>
      <c r="G1282">
        <v>182.5</v>
      </c>
    </row>
    <row r="1283" spans="6:7" x14ac:dyDescent="0.3">
      <c r="F1283" t="str">
        <v>currency:</v>
      </c>
      <c r="G1283" t="str">
        <v>USD</v>
      </c>
    </row>
    <row r="1284" spans="6:7" x14ac:dyDescent="0.3">
      <c r="F1284" t="str">
        <v>lastPrice:</v>
      </c>
      <c r="G1284">
        <v>4.4000000000000004</v>
      </c>
    </row>
    <row r="1285" spans="6:7" x14ac:dyDescent="0.3">
      <c r="F1285" t="str">
        <v>change:</v>
      </c>
      <c r="G1285">
        <v>-0.34999989999999997</v>
      </c>
    </row>
    <row r="1286" spans="6:7" x14ac:dyDescent="0.3">
      <c r="F1286" t="str">
        <v>percentChange:</v>
      </c>
      <c r="G1286">
        <v>-7.3684196000000002</v>
      </c>
    </row>
    <row r="1287" spans="6:7" x14ac:dyDescent="0.3">
      <c r="F1287" t="str">
        <v>volume:</v>
      </c>
      <c r="G1287">
        <v>350</v>
      </c>
    </row>
    <row r="1288" spans="6:7" x14ac:dyDescent="0.3">
      <c r="F1288" t="str">
        <v>openInterest:</v>
      </c>
      <c r="G1288">
        <v>9548</v>
      </c>
    </row>
    <row r="1289" spans="6:7" x14ac:dyDescent="0.3">
      <c r="F1289" t="str">
        <v>bid:</v>
      </c>
      <c r="G1289">
        <v>4.4000000000000004</v>
      </c>
    </row>
    <row r="1290" spans="6:7" x14ac:dyDescent="0.3">
      <c r="F1290" t="str">
        <v>ask:</v>
      </c>
      <c r="G1290">
        <v>4.5999999999999996</v>
      </c>
    </row>
    <row r="1291" spans="6:7" x14ac:dyDescent="0.3">
      <c r="F1291" t="str">
        <v>contractSize:</v>
      </c>
      <c r="G1291" t="str">
        <v>REGULAR</v>
      </c>
    </row>
    <row r="1292" spans="6:7" x14ac:dyDescent="0.3">
      <c r="F1292" t="str">
        <v>expiration:</v>
      </c>
      <c r="G1292">
        <v>1686268800</v>
      </c>
    </row>
    <row r="1293" spans="6:7" x14ac:dyDescent="0.3">
      <c r="F1293" t="str">
        <v>lastTradeDate:</v>
      </c>
      <c r="G1293">
        <v>1686233771</v>
      </c>
    </row>
    <row r="1294" spans="6:7" x14ac:dyDescent="0.3">
      <c r="F1294" t="str">
        <v>impliedVolatility:</v>
      </c>
      <c r="G1294">
        <v>0.4018614501953125</v>
      </c>
    </row>
    <row r="1295" spans="6:7" x14ac:dyDescent="0.3">
      <c r="F1295" t="str">
        <v>inTheMoney:</v>
      </c>
      <c r="G1295" t="str">
        <v>true</v>
      </c>
    </row>
    <row r="1296" spans="6:7" x14ac:dyDescent="0.3">
      <c r="F1296" t="str">
        <v>contractSymbol:</v>
      </c>
      <c r="G1296" t="str">
        <v>AAPL230609P00185000</v>
      </c>
    </row>
    <row r="1297" spans="6:7" x14ac:dyDescent="0.3">
      <c r="F1297" t="str">
        <v>strike:</v>
      </c>
      <c r="G1297">
        <v>185</v>
      </c>
    </row>
    <row r="1298" spans="6:7" x14ac:dyDescent="0.3">
      <c r="F1298" t="str">
        <v>currency:</v>
      </c>
      <c r="G1298" t="str">
        <v>USD</v>
      </c>
    </row>
    <row r="1299" spans="6:7" x14ac:dyDescent="0.3">
      <c r="F1299" t="str">
        <v>lastPrice:</v>
      </c>
      <c r="G1299">
        <v>6.94</v>
      </c>
    </row>
    <row r="1300" spans="6:7" x14ac:dyDescent="0.3">
      <c r="F1300" t="str">
        <v>change:</v>
      </c>
      <c r="G1300">
        <v>-0.25999974999999997</v>
      </c>
    </row>
    <row r="1301" spans="6:7" x14ac:dyDescent="0.3">
      <c r="F1301" t="str">
        <v>percentChange:</v>
      </c>
      <c r="G1301">
        <v>-3.6111078000000001</v>
      </c>
    </row>
    <row r="1302" spans="6:7" x14ac:dyDescent="0.3">
      <c r="F1302" t="str">
        <v>volume:</v>
      </c>
      <c r="G1302">
        <v>84</v>
      </c>
    </row>
    <row r="1303" spans="6:7" x14ac:dyDescent="0.3">
      <c r="F1303" t="str">
        <v>openInterest:</v>
      </c>
      <c r="G1303">
        <v>6159</v>
      </c>
    </row>
    <row r="1304" spans="6:7" x14ac:dyDescent="0.3">
      <c r="F1304" t="str">
        <v>bid:</v>
      </c>
      <c r="G1304">
        <v>6.75</v>
      </c>
    </row>
    <row r="1305" spans="6:7" x14ac:dyDescent="0.3">
      <c r="F1305" t="str">
        <v>ask:</v>
      </c>
      <c r="G1305">
        <v>6.95</v>
      </c>
    </row>
    <row r="1306" spans="6:7" x14ac:dyDescent="0.3">
      <c r="F1306" t="str">
        <v>contractSize:</v>
      </c>
      <c r="G1306" t="str">
        <v>REGULAR</v>
      </c>
    </row>
    <row r="1307" spans="6:7" x14ac:dyDescent="0.3">
      <c r="F1307" t="str">
        <v>expiration:</v>
      </c>
      <c r="G1307">
        <v>1686268800</v>
      </c>
    </row>
    <row r="1308" spans="6:7" x14ac:dyDescent="0.3">
      <c r="F1308" t="str">
        <v>lastTradeDate:</v>
      </c>
      <c r="G1308">
        <v>1686233706</v>
      </c>
    </row>
    <row r="1309" spans="6:7" x14ac:dyDescent="0.3">
      <c r="F1309" t="str">
        <v>impliedVolatility:</v>
      </c>
      <c r="G1309">
        <v>0.49219257812500006</v>
      </c>
    </row>
    <row r="1310" spans="6:7" x14ac:dyDescent="0.3">
      <c r="F1310" t="str">
        <v>inTheMoney:</v>
      </c>
      <c r="G1310" t="str">
        <v>true</v>
      </c>
    </row>
    <row r="1311" spans="6:7" x14ac:dyDescent="0.3">
      <c r="F1311" t="str">
        <v>contractSymbol:</v>
      </c>
      <c r="G1311" t="str">
        <v>AAPL230609P00187500</v>
      </c>
    </row>
    <row r="1312" spans="6:7" x14ac:dyDescent="0.3">
      <c r="F1312" t="str">
        <v>strike:</v>
      </c>
      <c r="G1312">
        <v>187.5</v>
      </c>
    </row>
    <row r="1313" spans="6:7" x14ac:dyDescent="0.3">
      <c r="F1313" t="str">
        <v>currency:</v>
      </c>
      <c r="G1313" t="str">
        <v>USD</v>
      </c>
    </row>
    <row r="1314" spans="6:7" x14ac:dyDescent="0.3">
      <c r="F1314" t="str">
        <v>lastPrice:</v>
      </c>
      <c r="G1314">
        <v>9.0500000000000007</v>
      </c>
    </row>
    <row r="1315" spans="6:7" x14ac:dyDescent="0.3">
      <c r="F1315" t="str">
        <v>change:</v>
      </c>
      <c r="G1315">
        <v>-0.39999962</v>
      </c>
    </row>
    <row r="1316" spans="6:7" x14ac:dyDescent="0.3">
      <c r="F1316" t="str">
        <v>percentChange:</v>
      </c>
      <c r="G1316">
        <v>-4.2328004999999997</v>
      </c>
    </row>
    <row r="1317" spans="6:7" x14ac:dyDescent="0.3">
      <c r="F1317" t="str">
        <v>volume:</v>
      </c>
      <c r="G1317">
        <v>1</v>
      </c>
    </row>
    <row r="1318" spans="6:7" x14ac:dyDescent="0.3">
      <c r="F1318" t="str">
        <v>openInterest:</v>
      </c>
      <c r="G1318">
        <v>1127</v>
      </c>
    </row>
    <row r="1319" spans="6:7" x14ac:dyDescent="0.3">
      <c r="F1319" t="str">
        <v>bid:</v>
      </c>
      <c r="G1319">
        <v>9.4</v>
      </c>
    </row>
    <row r="1320" spans="6:7" x14ac:dyDescent="0.3">
      <c r="F1320" t="str">
        <v>ask:</v>
      </c>
      <c r="G1320">
        <v>9.6</v>
      </c>
    </row>
    <row r="1321" spans="6:7" x14ac:dyDescent="0.3">
      <c r="F1321" t="str">
        <v>contractSize:</v>
      </c>
      <c r="G1321" t="str">
        <v>REGULAR</v>
      </c>
    </row>
    <row r="1322" spans="6:7" x14ac:dyDescent="0.3">
      <c r="F1322" t="str">
        <v>expiration:</v>
      </c>
      <c r="G1322">
        <v>1686268800</v>
      </c>
    </row>
    <row r="1323" spans="6:7" x14ac:dyDescent="0.3">
      <c r="F1323" t="str">
        <v>lastTradeDate:</v>
      </c>
      <c r="G1323">
        <v>1686166170</v>
      </c>
    </row>
    <row r="1324" spans="6:7" x14ac:dyDescent="0.3">
      <c r="F1324" t="str">
        <v>impliedVolatility:</v>
      </c>
      <c r="G1324">
        <v>0.62500375000000008</v>
      </c>
    </row>
    <row r="1325" spans="6:7" x14ac:dyDescent="0.3">
      <c r="F1325" t="str">
        <v>inTheMoney:</v>
      </c>
      <c r="G1325" t="str">
        <v>true</v>
      </c>
    </row>
    <row r="1326" spans="6:7" x14ac:dyDescent="0.3">
      <c r="F1326" t="str">
        <v>contractSymbol:</v>
      </c>
      <c r="G1326" t="str">
        <v>AAPL230609P00190000</v>
      </c>
    </row>
    <row r="1327" spans="6:7" x14ac:dyDescent="0.3">
      <c r="F1327" t="str">
        <v>strike:</v>
      </c>
      <c r="G1327">
        <v>190</v>
      </c>
    </row>
    <row r="1328" spans="6:7" x14ac:dyDescent="0.3">
      <c r="F1328" t="str">
        <v>currency:</v>
      </c>
      <c r="G1328" t="str">
        <v>USD</v>
      </c>
    </row>
    <row r="1329" spans="6:7" x14ac:dyDescent="0.3">
      <c r="F1329" t="str">
        <v>lastPrice:</v>
      </c>
      <c r="G1329">
        <v>12.05</v>
      </c>
    </row>
    <row r="1330" spans="6:7" x14ac:dyDescent="0.3">
      <c r="F1330" t="str">
        <v>change:</v>
      </c>
      <c r="G1330">
        <v>0.25</v>
      </c>
    </row>
    <row r="1331" spans="6:7" x14ac:dyDescent="0.3">
      <c r="F1331" t="str">
        <v>percentChange:</v>
      </c>
      <c r="G1331">
        <v>2.1186440000000002</v>
      </c>
    </row>
    <row r="1332" spans="6:7" x14ac:dyDescent="0.3">
      <c r="F1332" t="str">
        <v>volume:</v>
      </c>
      <c r="G1332">
        <v>5</v>
      </c>
    </row>
    <row r="1333" spans="6:7" x14ac:dyDescent="0.3">
      <c r="F1333" t="str">
        <v>openInterest:</v>
      </c>
      <c r="G1333">
        <v>1812</v>
      </c>
    </row>
    <row r="1334" spans="6:7" x14ac:dyDescent="0.3">
      <c r="F1334" t="str">
        <v>bid:</v>
      </c>
      <c r="G1334">
        <v>11.75</v>
      </c>
    </row>
    <row r="1335" spans="6:7" x14ac:dyDescent="0.3">
      <c r="F1335" t="str">
        <v>ask:</v>
      </c>
      <c r="G1335">
        <v>11.95</v>
      </c>
    </row>
    <row r="1336" spans="6:7" x14ac:dyDescent="0.3">
      <c r="F1336" t="str">
        <v>contractSize:</v>
      </c>
      <c r="G1336" t="str">
        <v>REGULAR</v>
      </c>
    </row>
    <row r="1337" spans="6:7" x14ac:dyDescent="0.3">
      <c r="F1337" t="str">
        <v>expiration:</v>
      </c>
      <c r="G1337">
        <v>1686268800</v>
      </c>
    </row>
    <row r="1338" spans="6:7" x14ac:dyDescent="0.3">
      <c r="F1338" t="str">
        <v>lastTradeDate:</v>
      </c>
      <c r="G1338">
        <v>1686233977</v>
      </c>
    </row>
    <row r="1339" spans="6:7" x14ac:dyDescent="0.3">
      <c r="F1339" t="str">
        <v>impliedVolatility:</v>
      </c>
      <c r="G1339">
        <v>0.68017897949218764</v>
      </c>
    </row>
    <row r="1340" spans="6:7" x14ac:dyDescent="0.3">
      <c r="F1340" t="str">
        <v>inTheMoney:</v>
      </c>
      <c r="G1340" t="str">
        <v>true</v>
      </c>
    </row>
    <row r="1341" spans="6:7" x14ac:dyDescent="0.3">
      <c r="F1341" t="str">
        <v>contractSymbol:</v>
      </c>
      <c r="G1341" t="str">
        <v>AAPL230609P00192500</v>
      </c>
    </row>
    <row r="1342" spans="6:7" x14ac:dyDescent="0.3">
      <c r="F1342" t="str">
        <v>strike:</v>
      </c>
      <c r="G1342">
        <v>192.5</v>
      </c>
    </row>
    <row r="1343" spans="6:7" x14ac:dyDescent="0.3">
      <c r="F1343" t="str">
        <v>currency:</v>
      </c>
      <c r="G1343" t="str">
        <v>USD</v>
      </c>
    </row>
    <row r="1344" spans="6:7" x14ac:dyDescent="0.3">
      <c r="F1344" t="str">
        <v>lastPrice:</v>
      </c>
      <c r="G1344">
        <v>14.45</v>
      </c>
    </row>
    <row r="1345" spans="6:7" x14ac:dyDescent="0.3">
      <c r="F1345" t="str">
        <v>change:</v>
      </c>
      <c r="G1345">
        <v>0.14999962</v>
      </c>
    </row>
    <row r="1346" spans="6:7" x14ac:dyDescent="0.3">
      <c r="F1346" t="str">
        <v>percentChange:</v>
      </c>
      <c r="G1346">
        <v>1.0489484</v>
      </c>
    </row>
    <row r="1347" spans="6:7" x14ac:dyDescent="0.3">
      <c r="F1347" t="str">
        <v>volume:</v>
      </c>
      <c r="G1347">
        <v>6</v>
      </c>
    </row>
    <row r="1348" spans="6:7" x14ac:dyDescent="0.3">
      <c r="F1348" t="str">
        <v>openInterest:</v>
      </c>
      <c r="G1348">
        <v>13</v>
      </c>
    </row>
    <row r="1349" spans="6:7" x14ac:dyDescent="0.3">
      <c r="F1349" t="str">
        <v>bid:</v>
      </c>
      <c r="G1349">
        <v>14.3</v>
      </c>
    </row>
    <row r="1350" spans="6:7" x14ac:dyDescent="0.3">
      <c r="F1350" t="str">
        <v>ask:</v>
      </c>
      <c r="G1350">
        <v>14.6</v>
      </c>
    </row>
    <row r="1351" spans="6:7" x14ac:dyDescent="0.3">
      <c r="F1351" t="str">
        <v>contractSize:</v>
      </c>
      <c r="G1351" t="str">
        <v>REGULAR</v>
      </c>
    </row>
    <row r="1352" spans="6:7" x14ac:dyDescent="0.3">
      <c r="F1352" t="str">
        <v>expiration:</v>
      </c>
      <c r="G1352">
        <v>1686268800</v>
      </c>
    </row>
    <row r="1353" spans="6:7" x14ac:dyDescent="0.3">
      <c r="F1353" t="str">
        <v>lastTradeDate:</v>
      </c>
      <c r="G1353">
        <v>1686233164</v>
      </c>
    </row>
    <row r="1354" spans="6:7" x14ac:dyDescent="0.3">
      <c r="F1354" t="str">
        <v>impliedVolatility:</v>
      </c>
      <c r="G1354">
        <v>0.82129084960937493</v>
      </c>
    </row>
    <row r="1355" spans="6:7" x14ac:dyDescent="0.3">
      <c r="F1355" t="str">
        <v>inTheMoney:</v>
      </c>
      <c r="G1355" t="str">
        <v>true</v>
      </c>
    </row>
    <row r="1356" spans="6:7" x14ac:dyDescent="0.3">
      <c r="F1356" t="str">
        <v>contractSymbol:</v>
      </c>
      <c r="G1356" t="str">
        <v>AAPL230609P00195000</v>
      </c>
    </row>
    <row r="1357" spans="6:7" x14ac:dyDescent="0.3">
      <c r="F1357" t="str">
        <v>strike:</v>
      </c>
      <c r="G1357">
        <v>195</v>
      </c>
    </row>
    <row r="1358" spans="6:7" x14ac:dyDescent="0.3">
      <c r="F1358" t="str">
        <v>currency:</v>
      </c>
      <c r="G1358" t="str">
        <v>USD</v>
      </c>
    </row>
    <row r="1359" spans="6:7" x14ac:dyDescent="0.3">
      <c r="F1359" t="str">
        <v>lastPrice:</v>
      </c>
      <c r="G1359">
        <v>16.46</v>
      </c>
    </row>
    <row r="1360" spans="6:7" x14ac:dyDescent="0.3">
      <c r="F1360" t="str">
        <v>change:</v>
      </c>
      <c r="G1360">
        <v>-0.24000168</v>
      </c>
    </row>
    <row r="1361" spans="6:7" x14ac:dyDescent="0.3">
      <c r="F1361" t="str">
        <v>percentChange:</v>
      </c>
      <c r="G1361">
        <v>-1.4371357</v>
      </c>
    </row>
    <row r="1362" spans="6:7" x14ac:dyDescent="0.3">
      <c r="F1362" t="str">
        <v>volume:</v>
      </c>
      <c r="G1362">
        <v>1</v>
      </c>
    </row>
    <row r="1363" spans="6:7" x14ac:dyDescent="0.3">
      <c r="F1363" t="str">
        <v>openInterest:</v>
      </c>
      <c r="G1363">
        <v>342</v>
      </c>
    </row>
    <row r="1364" spans="6:7" x14ac:dyDescent="0.3">
      <c r="F1364" t="str">
        <v>bid:</v>
      </c>
      <c r="G1364">
        <v>16.7</v>
      </c>
    </row>
    <row r="1365" spans="6:7" x14ac:dyDescent="0.3">
      <c r="F1365" t="str">
        <v>ask:</v>
      </c>
      <c r="G1365">
        <v>16.899999999999999</v>
      </c>
    </row>
    <row r="1366" spans="6:7" x14ac:dyDescent="0.3">
      <c r="F1366" t="str">
        <v>contractSize:</v>
      </c>
      <c r="G1366" t="str">
        <v>REGULAR</v>
      </c>
    </row>
    <row r="1367" spans="6:7" x14ac:dyDescent="0.3">
      <c r="F1367" t="str">
        <v>expiration:</v>
      </c>
      <c r="G1367">
        <v>1686268800</v>
      </c>
    </row>
    <row r="1368" spans="6:7" x14ac:dyDescent="0.3">
      <c r="F1368" t="str">
        <v>lastTradeDate:</v>
      </c>
      <c r="G1368">
        <v>1686231047</v>
      </c>
    </row>
    <row r="1369" spans="6:7" x14ac:dyDescent="0.3">
      <c r="F1369" t="str">
        <v>impliedVolatility:</v>
      </c>
      <c r="G1369">
        <v>0.85351708984375008</v>
      </c>
    </row>
    <row r="1370" spans="6:7" x14ac:dyDescent="0.3">
      <c r="F1370" t="str">
        <v>inTheMoney:</v>
      </c>
      <c r="G1370" t="str">
        <v>true</v>
      </c>
    </row>
    <row r="1371" spans="6:7" x14ac:dyDescent="0.3">
      <c r="F1371" t="str">
        <v>contractSymbol:</v>
      </c>
      <c r="G1371" t="str">
        <v>AAPL230609P00197500</v>
      </c>
    </row>
    <row r="1372" spans="6:7" x14ac:dyDescent="0.3">
      <c r="F1372" t="str">
        <v>strike:</v>
      </c>
      <c r="G1372">
        <v>197.5</v>
      </c>
    </row>
    <row r="1373" spans="6:7" x14ac:dyDescent="0.3">
      <c r="F1373" t="str">
        <v>currency:</v>
      </c>
      <c r="G1373" t="str">
        <v>USD</v>
      </c>
    </row>
    <row r="1374" spans="6:7" x14ac:dyDescent="0.3">
      <c r="F1374" t="str">
        <v>lastPrice:</v>
      </c>
      <c r="G1374">
        <v>20</v>
      </c>
    </row>
    <row r="1375" spans="6:7" x14ac:dyDescent="0.3">
      <c r="F1375" t="str">
        <v>change:</v>
      </c>
      <c r="G1375">
        <v>0.10000038</v>
      </c>
    </row>
    <row r="1376" spans="6:7" x14ac:dyDescent="0.3">
      <c r="F1376" t="str">
        <v>percentChange:</v>
      </c>
      <c r="G1376">
        <v>0.50251449999999998</v>
      </c>
    </row>
    <row r="1377" spans="6:7" x14ac:dyDescent="0.3">
      <c r="F1377" t="str">
        <v>volume:</v>
      </c>
      <c r="G1377">
        <v>18</v>
      </c>
    </row>
    <row r="1378" spans="6:7" x14ac:dyDescent="0.3">
      <c r="F1378" t="str">
        <v>openInterest:</v>
      </c>
      <c r="G1378">
        <v>264</v>
      </c>
    </row>
    <row r="1379" spans="6:7" x14ac:dyDescent="0.3">
      <c r="F1379" t="str">
        <v>bid:</v>
      </c>
      <c r="G1379">
        <v>19.25</v>
      </c>
    </row>
    <row r="1380" spans="6:7" x14ac:dyDescent="0.3">
      <c r="F1380" t="str">
        <v>ask:</v>
      </c>
      <c r="G1380">
        <v>19.45</v>
      </c>
    </row>
    <row r="1381" spans="6:7" x14ac:dyDescent="0.3">
      <c r="F1381" t="str">
        <v>contractSize:</v>
      </c>
      <c r="G1381" t="str">
        <v>REGULAR</v>
      </c>
    </row>
    <row r="1382" spans="6:7" x14ac:dyDescent="0.3">
      <c r="F1382" t="str">
        <v>expiration:</v>
      </c>
      <c r="G1382">
        <v>1686268800</v>
      </c>
    </row>
    <row r="1383" spans="6:7" x14ac:dyDescent="0.3">
      <c r="F1383" t="str">
        <v>lastTradeDate:</v>
      </c>
      <c r="G1383">
        <v>1686231141</v>
      </c>
    </row>
    <row r="1384" spans="6:7" x14ac:dyDescent="0.3">
      <c r="F1384" t="str">
        <v>impliedVolatility:</v>
      </c>
      <c r="G1384">
        <v>0.96875031249999999</v>
      </c>
    </row>
    <row r="1385" spans="6:7" x14ac:dyDescent="0.3">
      <c r="F1385" t="str">
        <v>inTheMoney:</v>
      </c>
      <c r="G1385" t="str">
        <v>true</v>
      </c>
    </row>
    <row r="1386" spans="6:7" x14ac:dyDescent="0.3">
      <c r="F1386" t="str">
        <v>contractSymbol:</v>
      </c>
      <c r="G1386" t="str">
        <v>AAPL230609P00200000</v>
      </c>
    </row>
    <row r="1387" spans="6:7" x14ac:dyDescent="0.3">
      <c r="F1387" t="str">
        <v>strike:</v>
      </c>
      <c r="G1387">
        <v>200</v>
      </c>
    </row>
    <row r="1388" spans="6:7" x14ac:dyDescent="0.3">
      <c r="F1388" t="str">
        <v>currency:</v>
      </c>
      <c r="G1388" t="str">
        <v>USD</v>
      </c>
    </row>
    <row r="1389" spans="6:7" x14ac:dyDescent="0.3">
      <c r="F1389" t="str">
        <v>lastPrice:</v>
      </c>
      <c r="G1389">
        <v>21.8</v>
      </c>
    </row>
    <row r="1390" spans="6:7" x14ac:dyDescent="0.3">
      <c r="F1390" t="str">
        <v>change:</v>
      </c>
      <c r="G1390">
        <v>0</v>
      </c>
    </row>
    <row r="1391" spans="6:7" x14ac:dyDescent="0.3">
      <c r="F1391" t="str">
        <v>percentChange:</v>
      </c>
      <c r="G1391">
        <v>0</v>
      </c>
    </row>
    <row r="1392" spans="6:7" x14ac:dyDescent="0.3">
      <c r="F1392" t="str">
        <v>volume:</v>
      </c>
      <c r="G1392">
        <v>50</v>
      </c>
    </row>
    <row r="1393" spans="6:7" x14ac:dyDescent="0.3">
      <c r="F1393" t="str">
        <v>openInterest:</v>
      </c>
      <c r="G1393">
        <v>10</v>
      </c>
    </row>
    <row r="1394" spans="6:7" x14ac:dyDescent="0.3">
      <c r="F1394" t="str">
        <v>bid:</v>
      </c>
      <c r="G1394">
        <v>21.6</v>
      </c>
    </row>
    <row r="1395" spans="6:7" x14ac:dyDescent="0.3">
      <c r="F1395" t="str">
        <v>ask:</v>
      </c>
      <c r="G1395">
        <v>21.9</v>
      </c>
    </row>
    <row r="1396" spans="6:7" x14ac:dyDescent="0.3">
      <c r="F1396" t="str">
        <v>contractSize:</v>
      </c>
      <c r="G1396" t="str">
        <v>REGULAR</v>
      </c>
    </row>
    <row r="1397" spans="6:7" x14ac:dyDescent="0.3">
      <c r="F1397" t="str">
        <v>expiration:</v>
      </c>
      <c r="G1397">
        <v>1686268800</v>
      </c>
    </row>
    <row r="1398" spans="6:7" x14ac:dyDescent="0.3">
      <c r="F1398" t="str">
        <v>lastTradeDate:</v>
      </c>
      <c r="G1398">
        <v>1686164477</v>
      </c>
    </row>
    <row r="1399" spans="6:7" x14ac:dyDescent="0.3">
      <c r="F1399" t="str">
        <v>impliedVolatility:</v>
      </c>
      <c r="G1399">
        <v>1.0048877880859375</v>
      </c>
    </row>
    <row r="1400" spans="6:7" x14ac:dyDescent="0.3">
      <c r="F1400" t="str">
        <v>inTheMoney:</v>
      </c>
      <c r="G1400" t="str">
        <v>true</v>
      </c>
    </row>
    <row r="1401" spans="6:7" x14ac:dyDescent="0.3">
      <c r="F1401" t="str">
        <v>contractSymbol:</v>
      </c>
      <c r="G1401" t="str">
        <v>AAPL230609P00205000</v>
      </c>
    </row>
    <row r="1402" spans="6:7" x14ac:dyDescent="0.3">
      <c r="F1402" t="str">
        <v>strike:</v>
      </c>
      <c r="G1402">
        <v>205</v>
      </c>
    </row>
    <row r="1403" spans="6:7" x14ac:dyDescent="0.3">
      <c r="F1403" t="str">
        <v>currency:</v>
      </c>
      <c r="G1403" t="str">
        <v>USD</v>
      </c>
    </row>
    <row r="1404" spans="6:7" x14ac:dyDescent="0.3">
      <c r="F1404" t="str">
        <v>lastPrice:</v>
      </c>
      <c r="G1404">
        <v>24.8</v>
      </c>
    </row>
    <row r="1405" spans="6:7" x14ac:dyDescent="0.3">
      <c r="F1405" t="str">
        <v>change:</v>
      </c>
      <c r="G1405">
        <v>0</v>
      </c>
    </row>
    <row r="1406" spans="6:7" x14ac:dyDescent="0.3">
      <c r="F1406" t="str">
        <v>percentChange:</v>
      </c>
      <c r="G1406">
        <v>0</v>
      </c>
    </row>
    <row r="1407" spans="6:7" x14ac:dyDescent="0.3">
      <c r="F1407" t="str">
        <v>volume:</v>
      </c>
      <c r="G1407">
        <v>10</v>
      </c>
    </row>
    <row r="1408" spans="6:7" x14ac:dyDescent="0.3">
      <c r="F1408" t="str">
        <v>openInterest:</v>
      </c>
      <c r="G1408">
        <v>0</v>
      </c>
    </row>
    <row r="1409" spans="6:7" x14ac:dyDescent="0.3">
      <c r="F1409" t="str">
        <v>bid:</v>
      </c>
      <c r="G1409">
        <v>26.75</v>
      </c>
    </row>
    <row r="1410" spans="6:7" x14ac:dyDescent="0.3">
      <c r="F1410" t="str">
        <v>ask:</v>
      </c>
      <c r="G1410">
        <v>27.05</v>
      </c>
    </row>
    <row r="1411" spans="6:7" x14ac:dyDescent="0.3">
      <c r="F1411" t="str">
        <v>contractSize:</v>
      </c>
      <c r="G1411" t="str">
        <v>REGULAR</v>
      </c>
    </row>
    <row r="1412" spans="6:7" x14ac:dyDescent="0.3">
      <c r="F1412" t="str">
        <v>expiration:</v>
      </c>
      <c r="G1412">
        <v>1686268800</v>
      </c>
    </row>
    <row r="1413" spans="6:7" x14ac:dyDescent="0.3">
      <c r="F1413" t="str">
        <v>lastTradeDate:</v>
      </c>
      <c r="G1413">
        <v>1686145274</v>
      </c>
    </row>
    <row r="1414" spans="6:7" x14ac:dyDescent="0.3">
      <c r="F1414" t="str">
        <v>impliedVolatility:</v>
      </c>
      <c r="G1414">
        <v>1.2558630957031249</v>
      </c>
    </row>
    <row r="1415" spans="6:7" x14ac:dyDescent="0.3">
      <c r="F1415" t="str">
        <v>inTheMoney:</v>
      </c>
      <c r="G1415" t="str">
        <v>true</v>
      </c>
    </row>
    <row r="1416" spans="6:7" x14ac:dyDescent="0.3">
      <c r="F1416" t="str">
        <v>contractSymbol:</v>
      </c>
      <c r="G1416" t="str">
        <v>AAPL230609P00210000</v>
      </c>
    </row>
    <row r="1417" spans="6:7" x14ac:dyDescent="0.3">
      <c r="F1417" t="str">
        <v>strike:</v>
      </c>
      <c r="G1417">
        <v>210</v>
      </c>
    </row>
    <row r="1418" spans="6:7" x14ac:dyDescent="0.3">
      <c r="F1418" t="str">
        <v>currency:</v>
      </c>
      <c r="G1418" t="str">
        <v>USD</v>
      </c>
    </row>
    <row r="1419" spans="6:7" x14ac:dyDescent="0.3">
      <c r="F1419" t="str">
        <v>lastPrice:</v>
      </c>
      <c r="G1419">
        <v>31.72</v>
      </c>
    </row>
    <row r="1420" spans="6:7" x14ac:dyDescent="0.3">
      <c r="F1420" t="str">
        <v>change:</v>
      </c>
      <c r="G1420">
        <v>0</v>
      </c>
    </row>
    <row r="1421" spans="6:7" x14ac:dyDescent="0.3">
      <c r="F1421" t="str">
        <v>percentChange:</v>
      </c>
      <c r="G1421">
        <v>0</v>
      </c>
    </row>
    <row r="1422" spans="6:7" x14ac:dyDescent="0.3">
      <c r="F1422" t="str">
        <v>volume:</v>
      </c>
      <c r="G1422">
        <v>1</v>
      </c>
    </row>
    <row r="1423" spans="6:7" x14ac:dyDescent="0.3">
      <c r="F1423" t="str">
        <v>openInterest:</v>
      </c>
      <c r="G1423">
        <v>0</v>
      </c>
    </row>
    <row r="1424" spans="6:7" x14ac:dyDescent="0.3">
      <c r="F1424" t="str">
        <v>bid:</v>
      </c>
      <c r="G1424">
        <v>31.65</v>
      </c>
    </row>
    <row r="1425" spans="6:7" x14ac:dyDescent="0.3">
      <c r="F1425" t="str">
        <v>ask:</v>
      </c>
      <c r="G1425">
        <v>32.049999999999997</v>
      </c>
    </row>
    <row r="1426" spans="6:7" x14ac:dyDescent="0.3">
      <c r="F1426" t="str">
        <v>contractSize:</v>
      </c>
      <c r="G1426" t="str">
        <v>REGULAR</v>
      </c>
    </row>
    <row r="1427" spans="6:7" x14ac:dyDescent="0.3">
      <c r="F1427" t="str">
        <v>expiration:</v>
      </c>
      <c r="G1427">
        <v>1686268800</v>
      </c>
    </row>
    <row r="1428" spans="6:7" x14ac:dyDescent="0.3">
      <c r="F1428" t="str">
        <v>lastTradeDate:</v>
      </c>
      <c r="G1428">
        <v>1686144604</v>
      </c>
    </row>
    <row r="1429" spans="6:7" x14ac:dyDescent="0.3">
      <c r="F1429" t="str">
        <v>impliedVolatility:</v>
      </c>
      <c r="G1429">
        <v>1.3906280468749999</v>
      </c>
    </row>
    <row r="1430" spans="6:7" x14ac:dyDescent="0.3">
      <c r="F1430" t="str">
        <v>inTheMoney:</v>
      </c>
      <c r="G1430" t="str">
        <v>true</v>
      </c>
    </row>
    <row r="1431" spans="6:7" x14ac:dyDescent="0.3">
      <c r="F1431" t="str">
        <v>contractSymbol:</v>
      </c>
      <c r="G1431" t="str">
        <v>AAPL230609P00245000</v>
      </c>
    </row>
    <row r="1432" spans="6:7" x14ac:dyDescent="0.3">
      <c r="F1432" t="str">
        <v>strike:</v>
      </c>
      <c r="G1432">
        <v>245</v>
      </c>
    </row>
    <row r="1433" spans="6:7" x14ac:dyDescent="0.3">
      <c r="F1433" t="str">
        <v>currency:</v>
      </c>
      <c r="G1433" t="str">
        <v>USD</v>
      </c>
    </row>
    <row r="1434" spans="6:7" x14ac:dyDescent="0.3">
      <c r="F1434" t="str">
        <v>lastPrice:</v>
      </c>
      <c r="G1434">
        <v>64.75</v>
      </c>
    </row>
    <row r="1435" spans="6:7" x14ac:dyDescent="0.3">
      <c r="F1435" t="str">
        <v>change:</v>
      </c>
      <c r="G1435">
        <v>0</v>
      </c>
    </row>
    <row r="1436" spans="6:7" x14ac:dyDescent="0.3">
      <c r="F1436" t="str">
        <v>percentChange:</v>
      </c>
      <c r="G1436">
        <v>0</v>
      </c>
    </row>
    <row r="1437" spans="6:7" x14ac:dyDescent="0.3">
      <c r="F1437" t="str">
        <v>volume:</v>
      </c>
      <c r="G1437">
        <v>31</v>
      </c>
    </row>
    <row r="1438" spans="6:7" x14ac:dyDescent="0.3">
      <c r="F1438" t="str">
        <v>openInterest:</v>
      </c>
      <c r="G1438">
        <v>0</v>
      </c>
    </row>
    <row r="1439" spans="6:7" x14ac:dyDescent="0.3">
      <c r="F1439" t="str">
        <v>bid:</v>
      </c>
      <c r="G1439">
        <v>66.75</v>
      </c>
    </row>
    <row r="1440" spans="6:7" x14ac:dyDescent="0.3">
      <c r="F1440" t="str">
        <v>ask:</v>
      </c>
      <c r="G1440">
        <v>66.900000000000006</v>
      </c>
    </row>
    <row r="1441" spans="6:7" x14ac:dyDescent="0.3">
      <c r="F1441" t="str">
        <v>contractSize:</v>
      </c>
      <c r="G1441" t="str">
        <v>REGULAR</v>
      </c>
    </row>
    <row r="1442" spans="6:7" x14ac:dyDescent="0.3">
      <c r="F1442" t="str">
        <v>expiration:</v>
      </c>
      <c r="G1442">
        <v>1686268800</v>
      </c>
    </row>
    <row r="1443" spans="6:7" x14ac:dyDescent="0.3">
      <c r="F1443" t="str">
        <v>lastTradeDate:</v>
      </c>
      <c r="G1443">
        <v>1685991769</v>
      </c>
    </row>
    <row r="1444" spans="6:7" x14ac:dyDescent="0.3">
      <c r="F1444" t="str">
        <v>impliedVolatility:</v>
      </c>
      <c r="G1444">
        <v>2.3261760595703116</v>
      </c>
    </row>
    <row r="1445" spans="6:7" x14ac:dyDescent="0.3">
      <c r="F1445" t="str">
        <v>inTheMoney:</v>
      </c>
      <c r="G1445" t="str">
        <v>true</v>
      </c>
    </row>
    <row r="1446" spans="6:7" x14ac:dyDescent="0.3">
      <c r="F1446" t="str">
        <v>contractSymbol:</v>
      </c>
      <c r="G1446" t="str">
        <v>AAPL230609P00250000</v>
      </c>
    </row>
    <row r="1447" spans="6:7" x14ac:dyDescent="0.3">
      <c r="F1447" t="str">
        <v>strike:</v>
      </c>
      <c r="G1447">
        <v>250</v>
      </c>
    </row>
    <row r="1448" spans="6:7" x14ac:dyDescent="0.3">
      <c r="F1448" t="str">
        <v>currency:</v>
      </c>
      <c r="G1448" t="str">
        <v>USD</v>
      </c>
    </row>
    <row r="1449" spans="6:7" x14ac:dyDescent="0.3">
      <c r="F1449" t="str">
        <v>lastPrice:</v>
      </c>
      <c r="G1449">
        <v>70.38</v>
      </c>
    </row>
    <row r="1450" spans="6:7" x14ac:dyDescent="0.3">
      <c r="F1450" t="str">
        <v>change:</v>
      </c>
      <c r="G1450">
        <v>0</v>
      </c>
    </row>
    <row r="1451" spans="6:7" x14ac:dyDescent="0.3">
      <c r="F1451" t="str">
        <v>percentChange:</v>
      </c>
      <c r="G1451">
        <v>0</v>
      </c>
    </row>
    <row r="1452" spans="6:7" x14ac:dyDescent="0.3">
      <c r="F1452" t="str">
        <v>volume:</v>
      </c>
      <c r="G1452">
        <v>2</v>
      </c>
    </row>
    <row r="1453" spans="6:7" x14ac:dyDescent="0.3">
      <c r="F1453" t="str">
        <v>openInterest:</v>
      </c>
      <c r="G1453">
        <v>0</v>
      </c>
    </row>
    <row r="1454" spans="6:7" x14ac:dyDescent="0.3">
      <c r="F1454" t="str">
        <v>bid:</v>
      </c>
      <c r="G1454">
        <v>71.75</v>
      </c>
    </row>
    <row r="1455" spans="6:7" x14ac:dyDescent="0.3">
      <c r="F1455" t="str">
        <v>ask:</v>
      </c>
      <c r="G1455">
        <v>71.900000000000006</v>
      </c>
    </row>
    <row r="1456" spans="6:7" x14ac:dyDescent="0.3">
      <c r="F1456" t="str">
        <v>contractSize:</v>
      </c>
      <c r="G1456" t="str">
        <v>REGULAR</v>
      </c>
    </row>
    <row r="1457" spans="6:7" x14ac:dyDescent="0.3">
      <c r="F1457" t="str">
        <v>expiration:</v>
      </c>
      <c r="G1457">
        <v>1686268800</v>
      </c>
    </row>
    <row r="1458" spans="6:7" x14ac:dyDescent="0.3">
      <c r="F1458" t="str">
        <v>lastTradeDate:</v>
      </c>
      <c r="G1458">
        <v>1686079326</v>
      </c>
    </row>
    <row r="1459" spans="6:7" x14ac:dyDescent="0.3">
      <c r="F1459" t="str">
        <v>impliedVolatility:</v>
      </c>
      <c r="G1459">
        <v>2.4433632666015628</v>
      </c>
    </row>
    <row r="1460" spans="6:7" x14ac:dyDescent="0.3">
      <c r="F1460" t="str">
        <v>inTheMoney:</v>
      </c>
      <c r="G1460" t="str">
        <v>true</v>
      </c>
    </row>
    <row r="1461" spans="6:7" x14ac:dyDescent="0.3">
      <c r="F1461" t="str">
        <v>error:</v>
      </c>
      <c r="G1461" t="str">
        <v>null</v>
      </c>
    </row>
  </sheetData>
  <dataValidations count="1">
    <dataValidation type="list" allowBlank="1" showInputMessage="1" showErrorMessage="1" sqref="K72" xr:uid="{DEF5A103-C5FC-48CB-AFBF-108A8CE703F6}">
      <formula1>$B$74:$B$148</formula1>
    </dataValidation>
  </dataValidations>
  <hyperlinks>
    <hyperlink ref="B56" r:id="rId1" xr:uid="{B5495395-5D5A-49B1-B53A-FD8ECA3F75CF}"/>
    <hyperlink ref="B57" r:id="rId2" xr:uid="{262B83C5-2E8D-4674-8776-F88302144065}"/>
    <hyperlink ref="B58" r:id="rId3" xr:uid="{53CC50BE-AF7C-48EA-A408-0DD521CC73BC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utoColorSelection">
                <anchor moveWithCells="1" sizeWithCells="1">
                  <from>
                    <xdr:col>11</xdr:col>
                    <xdr:colOff>160020</xdr:colOff>
                    <xdr:row>3</xdr:row>
                    <xdr:rowOff>137160</xdr:rowOff>
                  </from>
                  <to>
                    <xdr:col>13</xdr:col>
                    <xdr:colOff>403860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resetFont">
                <anchor moveWithCells="1" sizeWithCells="1">
                  <from>
                    <xdr:col>11</xdr:col>
                    <xdr:colOff>182880</xdr:colOff>
                    <xdr:row>6</xdr:row>
                    <xdr:rowOff>175260</xdr:rowOff>
                  </from>
                  <to>
                    <xdr:col>13</xdr:col>
                    <xdr:colOff>419100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noHighlight">
                <anchor moveWithCells="1" sizeWithCells="1">
                  <from>
                    <xdr:col>14</xdr:col>
                    <xdr:colOff>83820</xdr:colOff>
                    <xdr:row>3</xdr:row>
                    <xdr:rowOff>121920</xdr:rowOff>
                  </from>
                  <to>
                    <xdr:col>16</xdr:col>
                    <xdr:colOff>327660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FontColorCycle">
                <anchor moveWithCells="1" sizeWithCells="1">
                  <from>
                    <xdr:col>14</xdr:col>
                    <xdr:colOff>83820</xdr:colOff>
                    <xdr:row>6</xdr:row>
                    <xdr:rowOff>160020</xdr:rowOff>
                  </from>
                  <to>
                    <xdr:col>16</xdr:col>
                    <xdr:colOff>327660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FillCycle">
                <anchor moveWithCells="1" sizeWithCells="1">
                  <from>
                    <xdr:col>14</xdr:col>
                    <xdr:colOff>76200</xdr:colOff>
                    <xdr:row>10</xdr:row>
                    <xdr:rowOff>68580</xdr:rowOff>
                  </from>
                  <to>
                    <xdr:col>16</xdr:col>
                    <xdr:colOff>312420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topBorder">
                <anchor moveWithCells="1" sizeWithCells="1">
                  <from>
                    <xdr:col>11</xdr:col>
                    <xdr:colOff>121920</xdr:colOff>
                    <xdr:row>17</xdr:row>
                    <xdr:rowOff>68580</xdr:rowOff>
                  </from>
                  <to>
                    <xdr:col>13</xdr:col>
                    <xdr:colOff>236220</xdr:colOff>
                    <xdr:row>19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bottomBorder">
                <anchor moveWithCells="1" sizeWithCells="1">
                  <from>
                    <xdr:col>13</xdr:col>
                    <xdr:colOff>426720</xdr:colOff>
                    <xdr:row>17</xdr:row>
                    <xdr:rowOff>68580</xdr:rowOff>
                  </from>
                  <to>
                    <xdr:col>15</xdr:col>
                    <xdr:colOff>556260</xdr:colOff>
                    <xdr:row>19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leftBorder">
                <anchor moveWithCells="1" sizeWithCells="1">
                  <from>
                    <xdr:col>11</xdr:col>
                    <xdr:colOff>121920</xdr:colOff>
                    <xdr:row>20</xdr:row>
                    <xdr:rowOff>68580</xdr:rowOff>
                  </from>
                  <to>
                    <xdr:col>13</xdr:col>
                    <xdr:colOff>251460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ightBorder">
                <anchor moveWithCells="1" sizeWithCells="1">
                  <from>
                    <xdr:col>13</xdr:col>
                    <xdr:colOff>426720</xdr:colOff>
                    <xdr:row>20</xdr:row>
                    <xdr:rowOff>68580</xdr:rowOff>
                  </from>
                  <to>
                    <xdr:col>15</xdr:col>
                    <xdr:colOff>541020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outlineBorder">
                <anchor moveWithCells="1" sizeWithCells="1">
                  <from>
                    <xdr:col>11</xdr:col>
                    <xdr:colOff>121920</xdr:colOff>
                    <xdr:row>23</xdr:row>
                    <xdr:rowOff>68580</xdr:rowOff>
                  </from>
                  <to>
                    <xdr:col>13</xdr:col>
                    <xdr:colOff>251460</xdr:colOff>
                    <xdr:row>25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Multiple">
                <anchor moveWithCells="1" sizeWithCells="1">
                  <from>
                    <xdr:col>7</xdr:col>
                    <xdr:colOff>220980</xdr:colOff>
                    <xdr:row>34</xdr:row>
                    <xdr:rowOff>160020</xdr:rowOff>
                  </from>
                  <to>
                    <xdr:col>9</xdr:col>
                    <xdr:colOff>213360</xdr:colOff>
                    <xdr:row>36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7" name="Button 12">
              <controlPr defaultSize="0" print="0" autoFill="0" autoPict="0" macro="[0]!sheetSelect">
                <anchor moveWithCells="1" sizeWithCells="1">
                  <from>
                    <xdr:col>0</xdr:col>
                    <xdr:colOff>220980</xdr:colOff>
                    <xdr:row>39</xdr:row>
                    <xdr:rowOff>121920</xdr:rowOff>
                  </from>
                  <to>
                    <xdr:col>2</xdr:col>
                    <xdr:colOff>449580</xdr:colOff>
                    <xdr:row>41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8" name="Button 13">
              <controlPr defaultSize="0" print="0" autoFill="0" autoPict="0" macro="[0]!CycleCurrFormats">
                <anchor moveWithCells="1" sizeWithCells="1">
                  <from>
                    <xdr:col>2</xdr:col>
                    <xdr:colOff>220980</xdr:colOff>
                    <xdr:row>30</xdr:row>
                    <xdr:rowOff>160020</xdr:rowOff>
                  </from>
                  <to>
                    <xdr:col>4</xdr:col>
                    <xdr:colOff>7620</xdr:colOff>
                    <xdr:row>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9" name="Button 14">
              <controlPr defaultSize="0" print="0" autoFill="0" autoPict="0" macro="[0]!CycleDateFormats">
                <anchor moveWithCells="1" sizeWithCells="1">
                  <from>
                    <xdr:col>12</xdr:col>
                    <xdr:colOff>441960</xdr:colOff>
                    <xdr:row>29</xdr:row>
                    <xdr:rowOff>30480</xdr:rowOff>
                  </from>
                  <to>
                    <xdr:col>15</xdr:col>
                    <xdr:colOff>22860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0" name="Button 15">
              <controlPr defaultSize="0" print="0" autoFill="0" autoPict="0" macro="[0]!CycleNumberFormats">
                <anchor moveWithCells="1" sizeWithCells="1">
                  <from>
                    <xdr:col>7</xdr:col>
                    <xdr:colOff>83820</xdr:colOff>
                    <xdr:row>30</xdr:row>
                    <xdr:rowOff>106680</xdr:rowOff>
                  </from>
                  <to>
                    <xdr:col>8</xdr:col>
                    <xdr:colOff>350520</xdr:colOff>
                    <xdr:row>33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87558-7DDF-41F0-8210-BC689D555B82}">
  <sheetPr codeName="Sheet2"/>
  <dimension ref="A1"/>
  <sheetViews>
    <sheetView workbookViewId="0"/>
  </sheetViews>
  <sheetFormatPr defaultRowHeight="14.4" x14ac:dyDescent="0.3"/>
  <sheetData>
    <row r="1" spans="1:1" x14ac:dyDescent="0.3">
      <c r="A1">
        <v>33242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FE8E2-31A5-4905-BEA9-EEE39923F3C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1DBE1-8CAA-4DD3-91CE-66211A4213AF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516F3-205D-46C0-BDF7-4333FEA1D5AF}">
  <sheetPr codeName="Sheet5"/>
  <dimension ref="A1"/>
  <sheetViews>
    <sheetView workbookViewId="0">
      <selection activeCell="H9" sqref="H9"/>
    </sheetView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236D9-DF3E-4652-AC5E-DA573E134DD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C62B7-E942-406D-906E-4619956C714E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8E673-2536-4406-B7FD-939326421687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9488-9E9D-431D-86C8-841F0DC3EB1B}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Examples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 Tudose</dc:creator>
  <cp:lastModifiedBy>Bogdan Tudose</cp:lastModifiedBy>
  <dcterms:created xsi:type="dcterms:W3CDTF">2019-03-04T21:30:58Z</dcterms:created>
  <dcterms:modified xsi:type="dcterms:W3CDTF">2023-06-08T14:38:21Z</dcterms:modified>
</cp:coreProperties>
</file>